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han\Desktop\PBL\"/>
    </mc:Choice>
  </mc:AlternateContent>
  <xr:revisionPtr revIDLastSave="0" documentId="13_ncr:1_{01E0837D-DADB-4CDE-B77B-DFCAB58E61CD}" xr6:coauthVersionLast="47" xr6:coauthVersionMax="47" xr10:uidLastSave="{00000000-0000-0000-0000-000000000000}"/>
  <bookViews>
    <workbookView xWindow="-108" yWindow="-108" windowWidth="30936" windowHeight="17496" xr2:uid="{859F5576-71AB-42AB-ABCD-5327A096F6C0}"/>
  </bookViews>
  <sheets>
    <sheet name="corrected_event_tab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6" i="1" l="1"/>
  <c r="L16" i="1"/>
  <c r="M16" i="1" s="1"/>
  <c r="N16" i="1"/>
  <c r="O16" i="1"/>
  <c r="P16" i="1"/>
  <c r="Q16" i="1"/>
  <c r="R16" i="1"/>
  <c r="Y12" i="1"/>
  <c r="X12" i="1"/>
  <c r="Y11" i="1"/>
  <c r="X11" i="1"/>
  <c r="W12" i="1"/>
  <c r="V12" i="1"/>
  <c r="U12" i="1"/>
  <c r="W11" i="1"/>
  <c r="V11" i="1"/>
  <c r="U11" i="1"/>
  <c r="O3" i="1"/>
  <c r="P3" i="1"/>
  <c r="Q3" i="1"/>
  <c r="R3" i="1"/>
  <c r="O4" i="1"/>
  <c r="P4" i="1"/>
  <c r="Q4" i="1"/>
  <c r="R4" i="1"/>
  <c r="O5" i="1"/>
  <c r="P5" i="1"/>
  <c r="Q5" i="1"/>
  <c r="R5" i="1"/>
  <c r="O6" i="1"/>
  <c r="P6" i="1"/>
  <c r="Q6" i="1"/>
  <c r="R6" i="1"/>
  <c r="O7" i="1"/>
  <c r="P7" i="1"/>
  <c r="Q7" i="1"/>
  <c r="R7" i="1"/>
  <c r="O8" i="1"/>
  <c r="P8" i="1"/>
  <c r="Q8" i="1"/>
  <c r="R8" i="1"/>
  <c r="O9" i="1"/>
  <c r="P9" i="1"/>
  <c r="Q9" i="1"/>
  <c r="R9" i="1"/>
  <c r="O10" i="1"/>
  <c r="P10" i="1"/>
  <c r="Q10" i="1"/>
  <c r="R10" i="1"/>
  <c r="O11" i="1"/>
  <c r="P11" i="1"/>
  <c r="Q11" i="1"/>
  <c r="R11" i="1"/>
  <c r="O12" i="1"/>
  <c r="P12" i="1"/>
  <c r="Q12" i="1"/>
  <c r="R12" i="1"/>
  <c r="O13" i="1"/>
  <c r="P13" i="1"/>
  <c r="Q13" i="1"/>
  <c r="R13" i="1"/>
  <c r="O14" i="1"/>
  <c r="P14" i="1"/>
  <c r="Q14" i="1"/>
  <c r="R14" i="1"/>
  <c r="O15" i="1"/>
  <c r="P15" i="1"/>
  <c r="Q15" i="1"/>
  <c r="R15" i="1"/>
  <c r="O17" i="1"/>
  <c r="P17" i="1"/>
  <c r="Q17" i="1"/>
  <c r="R17" i="1"/>
  <c r="O18" i="1"/>
  <c r="P18" i="1"/>
  <c r="Q18" i="1"/>
  <c r="R18" i="1"/>
  <c r="O19" i="1"/>
  <c r="P19" i="1"/>
  <c r="Q19" i="1"/>
  <c r="R19" i="1"/>
  <c r="O20" i="1"/>
  <c r="P20" i="1"/>
  <c r="Q20" i="1"/>
  <c r="R20" i="1"/>
  <c r="O21" i="1"/>
  <c r="P21" i="1"/>
  <c r="Q21" i="1"/>
  <c r="R21" i="1"/>
  <c r="O22" i="1"/>
  <c r="P22" i="1"/>
  <c r="Q22" i="1"/>
  <c r="R22" i="1"/>
  <c r="O23" i="1"/>
  <c r="P23" i="1"/>
  <c r="Q23" i="1"/>
  <c r="R23" i="1"/>
  <c r="O24" i="1"/>
  <c r="P24" i="1"/>
  <c r="Q24" i="1"/>
  <c r="R24" i="1"/>
  <c r="O25" i="1"/>
  <c r="P25" i="1"/>
  <c r="Q25" i="1"/>
  <c r="R25" i="1"/>
  <c r="O26" i="1"/>
  <c r="P26" i="1"/>
  <c r="Q26" i="1"/>
  <c r="R26" i="1"/>
  <c r="O27" i="1"/>
  <c r="P27" i="1"/>
  <c r="Q27" i="1"/>
  <c r="R27" i="1"/>
  <c r="P2" i="1"/>
  <c r="Q2" i="1"/>
  <c r="R2" i="1"/>
  <c r="O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7" i="1"/>
  <c r="N18" i="1"/>
  <c r="N19" i="1"/>
  <c r="N20" i="1"/>
  <c r="N21" i="1"/>
  <c r="N22" i="1"/>
  <c r="N23" i="1"/>
  <c r="N24" i="1"/>
  <c r="N25" i="1"/>
  <c r="N26" i="1"/>
  <c r="N27" i="1"/>
  <c r="N2" i="1"/>
  <c r="F23" i="1"/>
  <c r="L23" i="1" s="1"/>
  <c r="M23" i="1" s="1"/>
  <c r="F24" i="1"/>
  <c r="L24" i="1" s="1"/>
  <c r="M24" i="1" s="1"/>
  <c r="F25" i="1"/>
  <c r="L25" i="1" s="1"/>
  <c r="M25" i="1" s="1"/>
  <c r="F26" i="1"/>
  <c r="L26" i="1" s="1"/>
  <c r="M26" i="1" s="1"/>
  <c r="F27" i="1"/>
  <c r="L27" i="1" s="1"/>
  <c r="M27" i="1" s="1"/>
  <c r="F15" i="1"/>
  <c r="L15" i="1" s="1"/>
  <c r="M15" i="1" s="1"/>
  <c r="F17" i="1"/>
  <c r="L17" i="1" s="1"/>
  <c r="M17" i="1" s="1"/>
  <c r="F18" i="1"/>
  <c r="L18" i="1" s="1"/>
  <c r="M18" i="1" s="1"/>
  <c r="F19" i="1"/>
  <c r="L19" i="1" s="1"/>
  <c r="M19" i="1" s="1"/>
  <c r="F20" i="1"/>
  <c r="L20" i="1" s="1"/>
  <c r="M20" i="1" s="1"/>
  <c r="F21" i="1"/>
  <c r="L21" i="1" s="1"/>
  <c r="M21" i="1" s="1"/>
  <c r="F22" i="1"/>
  <c r="L22" i="1" s="1"/>
  <c r="M22" i="1" s="1"/>
  <c r="L2" i="1"/>
  <c r="M2" i="1" s="1"/>
  <c r="U16" i="1" s="1"/>
  <c r="F3" i="1"/>
  <c r="L3" i="1" s="1"/>
  <c r="M3" i="1" s="1"/>
  <c r="F4" i="1"/>
  <c r="L4" i="1" s="1"/>
  <c r="M4" i="1" s="1"/>
  <c r="F5" i="1"/>
  <c r="L5" i="1" s="1"/>
  <c r="M5" i="1" s="1"/>
  <c r="X16" i="1" s="1"/>
  <c r="F6" i="1"/>
  <c r="L6" i="1" s="1"/>
  <c r="M6" i="1" s="1"/>
  <c r="F7" i="1"/>
  <c r="L7" i="1" s="1"/>
  <c r="M7" i="1" s="1"/>
  <c r="F8" i="1"/>
  <c r="L8" i="1" s="1"/>
  <c r="M8" i="1" s="1"/>
  <c r="F9" i="1"/>
  <c r="L9" i="1" s="1"/>
  <c r="M9" i="1" s="1"/>
  <c r="F10" i="1"/>
  <c r="L10" i="1" s="1"/>
  <c r="M10" i="1" s="1"/>
  <c r="F11" i="1"/>
  <c r="L11" i="1" s="1"/>
  <c r="M11" i="1" s="1"/>
  <c r="F12" i="1"/>
  <c r="L12" i="1" s="1"/>
  <c r="M12" i="1" s="1"/>
  <c r="F13" i="1"/>
  <c r="L13" i="1" s="1"/>
  <c r="M13" i="1" s="1"/>
  <c r="F14" i="1"/>
  <c r="L14" i="1" s="1"/>
  <c r="M14" i="1" s="1"/>
  <c r="Y16" i="1" l="1"/>
  <c r="W16" i="1"/>
  <c r="V16" i="1"/>
  <c r="U15" i="1"/>
  <c r="V15" i="1"/>
  <c r="W15" i="1"/>
  <c r="X7" i="1"/>
  <c r="X15" i="1"/>
  <c r="Y15" i="1"/>
  <c r="V6" i="1"/>
  <c r="X6" i="1"/>
  <c r="V7" i="1"/>
  <c r="Y7" i="1"/>
  <c r="U7" i="1"/>
  <c r="U6" i="1"/>
  <c r="W6" i="1"/>
  <c r="Y6" i="1"/>
  <c r="W7" i="1"/>
</calcChain>
</file>

<file path=xl/sharedStrings.xml><?xml version="1.0" encoding="utf-8"?>
<sst xmlns="http://schemas.openxmlformats.org/spreadsheetml/2006/main" count="68" uniqueCount="29">
  <si>
    <t>Policy Date</t>
  </si>
  <si>
    <t>Repo</t>
  </si>
  <si>
    <t>Change</t>
  </si>
  <si>
    <t>Type</t>
  </si>
  <si>
    <t>CPI</t>
  </si>
  <si>
    <t>Pre_Return</t>
  </si>
  <si>
    <t>Post_Return</t>
  </si>
  <si>
    <t>Cut</t>
  </si>
  <si>
    <t>Hike</t>
  </si>
  <si>
    <t>Expected</t>
  </si>
  <si>
    <t>Surprise</t>
  </si>
  <si>
    <t>CPI_Change</t>
  </si>
  <si>
    <t>Month_Advance_Return</t>
  </si>
  <si>
    <t>Day_Before_Return</t>
  </si>
  <si>
    <t>Same_Day_Return</t>
  </si>
  <si>
    <t>Case</t>
  </si>
  <si>
    <t>5-days before</t>
  </si>
  <si>
    <t>Prev day</t>
  </si>
  <si>
    <t>Same day</t>
  </si>
  <si>
    <t>5 days later</t>
  </si>
  <si>
    <t>Average post</t>
  </si>
  <si>
    <t>Average day before</t>
  </si>
  <si>
    <t>Average same day</t>
  </si>
  <si>
    <t>Average Month</t>
  </si>
  <si>
    <t>Month</t>
  </si>
  <si>
    <t>Average Movement with Hike/Cut</t>
  </si>
  <si>
    <t xml:space="preserve">Hike </t>
  </si>
  <si>
    <t>Average_pre</t>
  </si>
  <si>
    <t>Average Movement with Exp / Sur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</si>
</sst>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%"/>
  </numFmts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4" tint="-0.249977111117893"/>
      <name val="Aptos Narrow"/>
      <family val="2"/>
      <scheme val="minor"/>
    </font>
    <font>
      <sz val="11"/>
      <color theme="4" tint="-0.249977111117893"/>
      <name val="Aptos Narrow"/>
      <family val="2"/>
      <scheme val="minor"/>
    </font>
    <font>
      <sz val="10"/>
      <color theme="1"/>
      <name val="Arial Unicode MS"/>
      <family val="2"/>
    </font>
    <font>
      <sz val="8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165" fontId="0" fillId="0" borderId="0" xfId="42" applyNumberFormat="1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0" fontId="0" fillId="0" borderId="0" xfId="42" applyNumberFormat="1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65" fontId="18" fillId="0" borderId="10" xfId="42" applyNumberFormat="1" applyFont="1" applyBorder="1" applyAlignment="1">
      <alignment horizontal="center" vertical="center"/>
    </xf>
    <xf numFmtId="165" fontId="20" fillId="0" borderId="0" xfId="42" applyNumberFormat="1" applyFont="1" applyAlignment="1">
      <alignment horizontal="center" vertical="center"/>
    </xf>
    <xf numFmtId="165" fontId="19" fillId="33" borderId="0" xfId="42" applyNumberFormat="1" applyFont="1" applyFill="1" applyAlignment="1">
      <alignment horizontal="center" vertical="center"/>
    </xf>
    <xf numFmtId="165" fontId="19" fillId="0" borderId="11" xfId="42" applyNumberFormat="1" applyFont="1" applyBorder="1" applyAlignment="1">
      <alignment horizontal="center" vertical="center"/>
    </xf>
    <xf numFmtId="165" fontId="16" fillId="0" borderId="0" xfId="42" applyNumberFormat="1" applyFont="1" applyAlignment="1">
      <alignment horizontal="center" vertic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24">
    <dxf>
      <numFmt numFmtId="165" formatCode="0.000%"/>
      <alignment horizontal="center" vertical="center" textRotation="0" wrapText="0" indent="0" justifyLastLine="0" shrinkToFit="0" readingOrder="0"/>
    </dxf>
    <dxf>
      <numFmt numFmtId="165" formatCode="0.000%"/>
      <alignment horizontal="center" vertical="center" textRotation="0" wrapText="0" indent="0" justifyLastLine="0" shrinkToFit="0" readingOrder="0"/>
    </dxf>
    <dxf>
      <numFmt numFmtId="165" formatCode="0.000%"/>
      <alignment horizontal="center" vertical="center" textRotation="0" wrapText="0" indent="0" justifyLastLine="0" shrinkToFit="0" readingOrder="0"/>
    </dxf>
    <dxf>
      <numFmt numFmtId="165" formatCode="0.000%"/>
      <alignment horizontal="center" vertical="center" textRotation="0" wrapText="0" indent="0" justifyLastLine="0" shrinkToFit="0" readingOrder="0"/>
    </dxf>
    <dxf>
      <numFmt numFmtId="165" formatCode="0.000%"/>
      <alignment horizontal="center" vertical="center" textRotation="0" wrapText="0" indent="0" justifyLastLine="0" shrinkToFit="0" readingOrder="0"/>
    </dxf>
    <dxf>
      <numFmt numFmtId="165" formatCode="0.000%"/>
      <alignment horizontal="center" vertical="center" textRotation="0" wrapText="0" indent="0" justifyLastLine="0" shrinkToFit="0" readingOrder="0"/>
    </dxf>
    <dxf>
      <numFmt numFmtId="165" formatCode="0.000%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Aptos Narrow"/>
        <family val="2"/>
        <scheme val="minor"/>
      </font>
      <numFmt numFmtId="165" formatCode="0.0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0.000%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Aptos Narrow"/>
        <family val="2"/>
        <scheme val="minor"/>
      </font>
      <numFmt numFmtId="165" formatCode="0.0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0.0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0.000%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0.000%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0.0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0.000%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0.0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0.0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0.0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0.0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0.0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0.0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0.000%"/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ECB9059-85F2-4678-B38F-61905798E014}" name="Table1" displayName="Table1" ref="T5:Y7" totalsRowShown="0" headerRowDxfId="17" dataDxfId="16" headerRowCellStyle="Percent" dataCellStyle="Percent">
  <autoFilter ref="T5:Y7" xr:uid="{AECB9059-85F2-4678-B38F-61905798E014}"/>
  <tableColumns count="6">
    <tableColumn id="1" xr3:uid="{96EE2901-CC84-487F-BDFD-706B666C116A}" name="Case" dataDxfId="23" dataCellStyle="Percent"/>
    <tableColumn id="2" xr3:uid="{6E3730D1-908C-4748-93AC-472101EDDA92}" name="5-days before" dataDxfId="22" dataCellStyle="Percent">
      <calculatedColumnFormula>AVERAGEIF(M:M,"Yes",G:G)</calculatedColumnFormula>
    </tableColumn>
    <tableColumn id="3" xr3:uid="{12BA416E-53D5-427E-860D-709EDD87C8A5}" name="Prev day" dataDxfId="21" dataCellStyle="Percent">
      <calculatedColumnFormula>AVERAGEIF(M:M,"Yes",I:I)</calculatedColumnFormula>
    </tableColumn>
    <tableColumn id="4" xr3:uid="{AEFE058A-EA1D-44A3-B937-8DD608F06395}" name="Same day" dataDxfId="20" dataCellStyle="Percent">
      <calculatedColumnFormula>AVERAGEIF(M:M,"Yes",J:J)</calculatedColumnFormula>
    </tableColumn>
    <tableColumn id="5" xr3:uid="{C6979E81-6A25-4B42-A35D-86739CC413C5}" name="5 days later" dataDxfId="19" dataCellStyle="Percent">
      <calculatedColumnFormula>AVERAGEIF(M:M,"Yes",H:H)</calculatedColumnFormula>
    </tableColumn>
    <tableColumn id="6" xr3:uid="{F81160B5-EC24-436A-AD4E-A61C256D43EA}" name="Month" dataDxfId="18" dataCellStyle="Percent">
      <calculatedColumnFormula>AVERAGEIF(M:M,"Yes",K:K)</calculatedColumnFormula>
    </tableColumn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8EAA77B-EB92-4FD5-AF8F-78FF82E6C3D8}" name="Table2" displayName="Table2" ref="T10:Y12" totalsRowShown="0" headerRowDxfId="9" dataDxfId="8" headerRowCellStyle="Percent" dataCellStyle="Percent">
  <autoFilter ref="T10:Y12" xr:uid="{38EAA77B-EB92-4FD5-AF8F-78FF82E6C3D8}"/>
  <tableColumns count="6">
    <tableColumn id="1" xr3:uid="{310E3915-5524-4058-9176-3EA8FE46FE1D}" name="Average Movement with Hike/Cut" dataDxfId="15" dataCellStyle="Percent"/>
    <tableColumn id="2" xr3:uid="{9BED5E10-E6CB-4225-8317-DE8C76284220}" name="5-days before" dataDxfId="14">
      <calculatedColumnFormula>AVERAGEIF($D$2:$D$27, "Cut", $G$2:$G$27)</calculatedColumnFormula>
    </tableColumn>
    <tableColumn id="3" xr3:uid="{C27BB2FA-DA76-43DC-A8B5-23D91633370D}" name="Prev day" dataDxfId="13" dataCellStyle="Percent">
      <calculatedColumnFormula>AVERAGEIF($D$2:$D$27, "Cut", $I$2:$I$27)</calculatedColumnFormula>
    </tableColumn>
    <tableColumn id="4" xr3:uid="{70A56AB5-568D-4B13-BBAB-BACD18175A86}" name="Same day" dataDxfId="12">
      <calculatedColumnFormula>AVERAGEIF($D$2:$D$27, "Cut", $J$2:$J$27)</calculatedColumnFormula>
    </tableColumn>
    <tableColumn id="5" xr3:uid="{9A5F5C3E-F0D9-4921-9B44-09CF31A73375}" name="5 days later" dataDxfId="11" dataCellStyle="Percent">
      <calculatedColumnFormula>AVERAGEIF($D$2:$D$27, "Cut", $H$2:$H$27)</calculatedColumnFormula>
    </tableColumn>
    <tableColumn id="6" xr3:uid="{5A6A2931-899E-4106-B278-38ACA92053DA}" name="Month" dataDxfId="10" dataCellStyle="Percent">
      <calculatedColumnFormula>AVERAGEIF($D$2:$D$27, "Cut", $K$2:$K$27)</calculatedColumnFormula>
    </tableColumn>
  </tableColumns>
  <tableStyleInfo name="TableStyleLight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8A3396A-9850-404B-ACF2-5C7A177154E8}" name="Table3" displayName="Table3" ref="T14:Y16" totalsRowShown="0" headerRowDxfId="7" dataDxfId="6" headerRowCellStyle="Percent" dataCellStyle="Percent">
  <autoFilter ref="T14:Y16" xr:uid="{E8A3396A-9850-404B-ACF2-5C7A177154E8}"/>
  <tableColumns count="6">
    <tableColumn id="1" xr3:uid="{79C391F0-CC13-4780-BD4F-74BBB6B686F4}" name="Average Movement with Exp / Sur" dataDxfId="5" dataCellStyle="Percent"/>
    <tableColumn id="2" xr3:uid="{AE166E34-D2D5-49E1-93A8-193BB131BC7C}" name="5-days before" dataDxfId="4" dataCellStyle="Percent">
      <calculatedColumnFormula>AVERAGEIF($M$2:$M$27, "Yes", $G$2:$G$27)</calculatedColumnFormula>
    </tableColumn>
    <tableColumn id="3" xr3:uid="{C80856AC-76B0-4326-8CAA-DA12AAC78DCC}" name="Prev day" dataDxfId="3" dataCellStyle="Percent">
      <calculatedColumnFormula>AVERAGEIF($M$2:$M$27, "Yes", $I$2:$I$27)</calculatedColumnFormula>
    </tableColumn>
    <tableColumn id="4" xr3:uid="{7F39A462-6F18-4D3E-BDA1-19DCADB8395C}" name="Same day" dataDxfId="2" dataCellStyle="Percent">
      <calculatedColumnFormula>AVERAGEIF($M$2:$M$27, "Yes", $J$2:$J$27)</calculatedColumnFormula>
    </tableColumn>
    <tableColumn id="5" xr3:uid="{AE3C61BE-3BA3-42C3-9946-54EDD0AAB33A}" name="5 days later" dataDxfId="1" dataCellStyle="Percent">
      <calculatedColumnFormula>AVERAGEIF($M$2:$M$27, "Yes", $H$2:$H$27)</calculatedColumnFormula>
    </tableColumn>
    <tableColumn id="6" xr3:uid="{1E561C4C-4B6C-467C-8A2F-C649A889D872}" name="Month" dataDxfId="0" dataCellStyle="Percent">
      <calculatedColumnFormula>AVERAGEIF($M$2:$M$27, "Yes", $K$2:$K$27)</calculatedColumnFormula>
    </tableColumn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778E5-5320-4F99-821D-384FCBE16E52}">
  <dimension ref="A1:Z31"/>
  <sheetViews>
    <sheetView tabSelected="1" zoomScale="85" zoomScaleNormal="85" workbookViewId="0">
      <selection activeCell="P25" sqref="P25"/>
    </sheetView>
  </sheetViews>
  <sheetFormatPr defaultRowHeight="14.4" x14ac:dyDescent="0.3"/>
  <cols>
    <col min="1" max="1" width="10.44140625" style="1" bestFit="1" customWidth="1"/>
    <col min="2" max="2" width="5.21875" style="1" bestFit="1" customWidth="1"/>
    <col min="3" max="3" width="7.33203125" style="1" bestFit="1" customWidth="1"/>
    <col min="4" max="4" width="4.88671875" style="1" bestFit="1" customWidth="1"/>
    <col min="5" max="5" width="6" style="1" bestFit="1" customWidth="1"/>
    <col min="6" max="6" width="10.5546875" style="1" bestFit="1" customWidth="1"/>
    <col min="7" max="7" width="10.109375" style="2" bestFit="1" customWidth="1"/>
    <col min="8" max="8" width="11.109375" style="2" bestFit="1" customWidth="1"/>
    <col min="9" max="9" width="16.33203125" style="2" bestFit="1" customWidth="1"/>
    <col min="10" max="10" width="15.5546875" style="2" bestFit="1" customWidth="1"/>
    <col min="11" max="11" width="8.88671875" style="2"/>
    <col min="12" max="12" width="8.44140625" style="1" bestFit="1" customWidth="1"/>
    <col min="13" max="13" width="8.88671875" style="1"/>
    <col min="14" max="14" width="10.44140625" style="1" bestFit="1" customWidth="1"/>
    <col min="15" max="15" width="11.21875" style="1" bestFit="1" customWidth="1"/>
    <col min="16" max="16" width="16.21875" style="1" bestFit="1" customWidth="1"/>
    <col min="17" max="17" width="15.44140625" style="1" bestFit="1" customWidth="1"/>
    <col min="18" max="18" width="12.77734375" style="1" bestFit="1" customWidth="1"/>
    <col min="19" max="19" width="10" style="1" bestFit="1" customWidth="1"/>
    <col min="20" max="20" width="31" style="1" customWidth="1"/>
    <col min="21" max="21" width="17" style="1" customWidth="1"/>
    <col min="22" max="22" width="17.21875" style="1" customWidth="1"/>
    <col min="23" max="23" width="11.21875" style="1" customWidth="1"/>
    <col min="24" max="24" width="12.5546875" style="2" customWidth="1"/>
    <col min="25" max="25" width="10.6640625" style="2" bestFit="1" customWidth="1"/>
    <col min="26" max="26" width="20" style="2" bestFit="1" customWidth="1"/>
    <col min="27" max="16384" width="8.88671875" style="1"/>
  </cols>
  <sheetData>
    <row r="1" spans="1:25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11</v>
      </c>
      <c r="G1" s="11" t="s">
        <v>5</v>
      </c>
      <c r="H1" s="11" t="s">
        <v>6</v>
      </c>
      <c r="I1" s="11" t="s">
        <v>13</v>
      </c>
      <c r="J1" s="11" t="s">
        <v>14</v>
      </c>
      <c r="K1" s="11" t="s">
        <v>12</v>
      </c>
      <c r="L1" s="5" t="s">
        <v>9</v>
      </c>
      <c r="M1" s="5" t="s">
        <v>10</v>
      </c>
      <c r="N1" s="5" t="s">
        <v>27</v>
      </c>
      <c r="O1" s="5" t="s">
        <v>20</v>
      </c>
      <c r="P1" s="5" t="s">
        <v>21</v>
      </c>
      <c r="Q1" s="5" t="s">
        <v>22</v>
      </c>
      <c r="R1" s="5" t="s">
        <v>23</v>
      </c>
      <c r="U1" s="6"/>
      <c r="V1" s="6"/>
    </row>
    <row r="2" spans="1:25" x14ac:dyDescent="0.3">
      <c r="A2" s="3">
        <v>42019</v>
      </c>
      <c r="B2" s="1">
        <v>7.75</v>
      </c>
      <c r="C2" s="1">
        <v>-0.25</v>
      </c>
      <c r="D2" s="1" t="s">
        <v>7</v>
      </c>
      <c r="E2" s="1">
        <v>4.28</v>
      </c>
      <c r="F2" s="1">
        <v>0</v>
      </c>
      <c r="G2" s="2">
        <v>4.3400000000000001E-3</v>
      </c>
      <c r="H2" s="2">
        <v>6.2199999999999998E-3</v>
      </c>
      <c r="I2" s="2">
        <v>-2.5999999999999999E-3</v>
      </c>
      <c r="J2" s="2">
        <v>2.6200000000000001E-2</v>
      </c>
      <c r="K2" s="2">
        <v>6.864631675767E-3</v>
      </c>
      <c r="L2" s="1" t="str">
        <f>IF(F2&gt;0,"Hike","Cut")</f>
        <v>Cut</v>
      </c>
      <c r="M2" s="1" t="str">
        <f>IF(D2=L2, "No", "Yes")</f>
        <v>No</v>
      </c>
      <c r="N2" s="4">
        <f>ABS(G2)</f>
        <v>4.3400000000000001E-3</v>
      </c>
      <c r="O2" s="4">
        <f>ABS(H2)</f>
        <v>6.2199999999999998E-3</v>
      </c>
      <c r="P2" s="4">
        <f t="shared" ref="P2:R2" si="0">ABS(I2)</f>
        <v>2.5999999999999999E-3</v>
      </c>
      <c r="Q2" s="4">
        <f t="shared" si="0"/>
        <v>2.6200000000000001E-2</v>
      </c>
      <c r="R2" s="4">
        <f t="shared" si="0"/>
        <v>6.864631675767E-3</v>
      </c>
    </row>
    <row r="3" spans="1:25" x14ac:dyDescent="0.3">
      <c r="A3" s="3">
        <v>42067</v>
      </c>
      <c r="B3" s="1">
        <v>7.5</v>
      </c>
      <c r="C3" s="1">
        <v>-0.25</v>
      </c>
      <c r="D3" s="1" t="s">
        <v>7</v>
      </c>
      <c r="E3" s="1">
        <v>5.37</v>
      </c>
      <c r="F3" s="1">
        <f t="shared" ref="F3:F27" si="1">E3-E2</f>
        <v>1.0899999999999999</v>
      </c>
      <c r="G3" s="2">
        <v>5.2199999999999998E-3</v>
      </c>
      <c r="H3" s="2">
        <v>-3.2799999999999002E-3</v>
      </c>
      <c r="I3" s="2">
        <v>4.4000000000000003E-3</v>
      </c>
      <c r="J3" s="2">
        <v>-8.2000000000000007E-3</v>
      </c>
      <c r="K3" s="2">
        <v>2.7423131303885701E-2</v>
      </c>
      <c r="L3" s="1" t="str">
        <f>IF(F3&gt;0,"Hike","Cut")</f>
        <v>Hike</v>
      </c>
      <c r="M3" s="1" t="str">
        <f>IF(D3=L3, "No", "Yes")</f>
        <v>Yes</v>
      </c>
      <c r="N3" s="4">
        <f t="shared" ref="N3:N27" si="2">ABS(G3)</f>
        <v>5.2199999999999998E-3</v>
      </c>
      <c r="O3" s="4">
        <f t="shared" ref="O3:O27" si="3">ABS(H3)</f>
        <v>3.2799999999999002E-3</v>
      </c>
      <c r="P3" s="4">
        <f t="shared" ref="P3:P27" si="4">ABS(I3)</f>
        <v>4.4000000000000003E-3</v>
      </c>
      <c r="Q3" s="4">
        <f t="shared" ref="Q3:Q27" si="5">ABS(J3)</f>
        <v>8.2000000000000007E-3</v>
      </c>
      <c r="R3" s="4">
        <f t="shared" ref="R3:R27" si="6">ABS(K3)</f>
        <v>2.7423131303885701E-2</v>
      </c>
    </row>
    <row r="4" spans="1:25" x14ac:dyDescent="0.3">
      <c r="A4" s="3">
        <v>42157</v>
      </c>
      <c r="B4" s="1">
        <v>7.25</v>
      </c>
      <c r="C4" s="1">
        <v>-0.25</v>
      </c>
      <c r="D4" s="1" t="s">
        <v>7</v>
      </c>
      <c r="E4" s="1">
        <v>5.4</v>
      </c>
      <c r="F4" s="1">
        <f t="shared" si="1"/>
        <v>3.0000000000000249E-2</v>
      </c>
      <c r="G4" s="2">
        <v>1.5200000000000001E-3</v>
      </c>
      <c r="H4" s="2">
        <v>-5.2399999999999999E-3</v>
      </c>
      <c r="I4" s="2">
        <v>0</v>
      </c>
      <c r="J4" s="2">
        <v>-2.3400000000000001E-2</v>
      </c>
      <c r="K4" s="2">
        <v>3.0657483055250401E-2</v>
      </c>
      <c r="L4" s="1" t="str">
        <f>IF(F4&gt;0,"Hike","Cut")</f>
        <v>Hike</v>
      </c>
      <c r="M4" s="1" t="str">
        <f>IF(D4=L4, "No", "Yes")</f>
        <v>Yes</v>
      </c>
      <c r="N4" s="4">
        <f t="shared" si="2"/>
        <v>1.5200000000000001E-3</v>
      </c>
      <c r="O4" s="4">
        <f t="shared" si="3"/>
        <v>5.2399999999999999E-3</v>
      </c>
      <c r="P4" s="4">
        <f t="shared" si="4"/>
        <v>0</v>
      </c>
      <c r="Q4" s="4">
        <f t="shared" si="5"/>
        <v>2.3400000000000001E-2</v>
      </c>
      <c r="R4" s="4">
        <f t="shared" si="6"/>
        <v>3.0657483055250401E-2</v>
      </c>
      <c r="U4" s="2"/>
      <c r="V4" s="2"/>
    </row>
    <row r="5" spans="1:25" x14ac:dyDescent="0.3">
      <c r="A5" s="3">
        <v>42276</v>
      </c>
      <c r="B5" s="1">
        <v>6.75</v>
      </c>
      <c r="C5" s="1">
        <v>-0.5</v>
      </c>
      <c r="D5" s="1" t="s">
        <v>7</v>
      </c>
      <c r="E5" s="1">
        <v>3.74</v>
      </c>
      <c r="F5" s="1">
        <f t="shared" si="1"/>
        <v>-1.6600000000000001</v>
      </c>
      <c r="G5" s="2">
        <v>-4.6800000000000001E-3</v>
      </c>
      <c r="H5" s="2">
        <v>8.4200000000000004E-3</v>
      </c>
      <c r="I5" s="2">
        <v>-9.2999999999999992E-3</v>
      </c>
      <c r="J5" s="2">
        <v>6.1000000000000004E-3</v>
      </c>
      <c r="K5" s="2">
        <v>-2.5922092983685901E-2</v>
      </c>
      <c r="L5" s="1" t="str">
        <f>IF(F5&gt;0,"Hike","Cut")</f>
        <v>Cut</v>
      </c>
      <c r="M5" s="1" t="str">
        <f>IF(D5=L5, "No", "Yes")</f>
        <v>No</v>
      </c>
      <c r="N5" s="4">
        <f t="shared" si="2"/>
        <v>4.6800000000000001E-3</v>
      </c>
      <c r="O5" s="4">
        <f t="shared" si="3"/>
        <v>8.4200000000000004E-3</v>
      </c>
      <c r="P5" s="4">
        <f t="shared" si="4"/>
        <v>9.2999999999999992E-3</v>
      </c>
      <c r="Q5" s="4">
        <f t="shared" si="5"/>
        <v>6.1000000000000004E-3</v>
      </c>
      <c r="R5" s="4">
        <f t="shared" si="6"/>
        <v>2.5922092983685901E-2</v>
      </c>
      <c r="T5" s="11" t="s">
        <v>15</v>
      </c>
      <c r="U5" s="11" t="s">
        <v>16</v>
      </c>
      <c r="V5" s="11" t="s">
        <v>17</v>
      </c>
      <c r="W5" s="11" t="s">
        <v>18</v>
      </c>
      <c r="X5" s="11" t="s">
        <v>19</v>
      </c>
      <c r="Y5" s="11" t="s">
        <v>24</v>
      </c>
    </row>
    <row r="6" spans="1:25" x14ac:dyDescent="0.3">
      <c r="A6" s="3">
        <v>42465</v>
      </c>
      <c r="B6" s="1">
        <v>6.5</v>
      </c>
      <c r="C6" s="1">
        <v>-0.25</v>
      </c>
      <c r="D6" s="1" t="s">
        <v>7</v>
      </c>
      <c r="E6" s="1">
        <v>4.83</v>
      </c>
      <c r="F6" s="1">
        <f t="shared" si="1"/>
        <v>1.0899999999999999</v>
      </c>
      <c r="G6" s="2">
        <v>3.7599999999999999E-3</v>
      </c>
      <c r="H6" s="2">
        <v>2.82E-3</v>
      </c>
      <c r="I6" s="2">
        <v>5.8999999999999999E-3</v>
      </c>
      <c r="J6" s="2">
        <v>-2.01E-2</v>
      </c>
      <c r="K6" s="2">
        <v>3.6287888944839197E-2</v>
      </c>
      <c r="L6" s="1" t="str">
        <f>IF(F6&gt;0,"Hike","Cut")</f>
        <v>Hike</v>
      </c>
      <c r="M6" s="1" t="str">
        <f>IF(D6=L6, "No", "Yes")</f>
        <v>Yes</v>
      </c>
      <c r="N6" s="4">
        <f t="shared" si="2"/>
        <v>3.7599999999999999E-3</v>
      </c>
      <c r="O6" s="4">
        <f t="shared" si="3"/>
        <v>2.82E-3</v>
      </c>
      <c r="P6" s="4">
        <f t="shared" si="4"/>
        <v>5.8999999999999999E-3</v>
      </c>
      <c r="Q6" s="4">
        <f t="shared" si="5"/>
        <v>2.01E-2</v>
      </c>
      <c r="R6" s="4">
        <f t="shared" si="6"/>
        <v>3.6287888944839197E-2</v>
      </c>
      <c r="T6" s="2" t="s">
        <v>9</v>
      </c>
      <c r="U6" s="2">
        <f>AVERAGEIF(M:M,"No",G:G)</f>
        <v>-2.9692307692307689E-4</v>
      </c>
      <c r="V6" s="2">
        <f>AVERAGEIF(M:M,"No",I:I)</f>
        <v>2.1692307692307692E-3</v>
      </c>
      <c r="W6" s="2">
        <f>AVERAGEIF(M:M,"No",J:J)</f>
        <v>4.0000000000000001E-3</v>
      </c>
      <c r="X6" s="2">
        <f>AVERAGEIF(M:M,"No",H:H)</f>
        <v>5.6923076923076914E-4</v>
      </c>
      <c r="Y6" s="2">
        <f>AVERAGEIF(M:M,"No",K:K)</f>
        <v>1.6293526508286921E-3</v>
      </c>
    </row>
    <row r="7" spans="1:25" x14ac:dyDescent="0.3">
      <c r="A7" s="3">
        <v>42647</v>
      </c>
      <c r="B7" s="1">
        <v>6.25</v>
      </c>
      <c r="C7" s="1">
        <v>-0.25</v>
      </c>
      <c r="D7" s="1" t="s">
        <v>7</v>
      </c>
      <c r="E7" s="1">
        <v>4.3899999999999997</v>
      </c>
      <c r="F7" s="1">
        <f t="shared" si="1"/>
        <v>-0.44000000000000039</v>
      </c>
      <c r="G7" s="2">
        <v>3.999999999999E-4</v>
      </c>
      <c r="H7" s="2">
        <v>-4.4999999999999997E-3</v>
      </c>
      <c r="I7" s="2">
        <v>1.47E-2</v>
      </c>
      <c r="J7" s="2">
        <v>3.5999999999999999E-3</v>
      </c>
      <c r="K7" s="2">
        <v>-8.0237741443689396E-3</v>
      </c>
      <c r="L7" s="1" t="str">
        <f>IF(F7&gt;0,"Hike","Cut")</f>
        <v>Cut</v>
      </c>
      <c r="M7" s="1" t="str">
        <f>IF(D7=L7, "No", "Yes")</f>
        <v>No</v>
      </c>
      <c r="N7" s="4">
        <f t="shared" si="2"/>
        <v>3.999999999999E-4</v>
      </c>
      <c r="O7" s="4">
        <f t="shared" si="3"/>
        <v>4.4999999999999997E-3</v>
      </c>
      <c r="P7" s="4">
        <f t="shared" si="4"/>
        <v>1.47E-2</v>
      </c>
      <c r="Q7" s="4">
        <f t="shared" si="5"/>
        <v>3.5999999999999999E-3</v>
      </c>
      <c r="R7" s="4">
        <f t="shared" si="6"/>
        <v>8.0237741443689396E-3</v>
      </c>
      <c r="T7" s="2" t="s">
        <v>10</v>
      </c>
      <c r="U7" s="2">
        <f>AVERAGEIF(M:M,"Yes",G:G)</f>
        <v>2.2769230769230766E-3</v>
      </c>
      <c r="V7" s="2">
        <f>AVERAGEIF(M:M,"Yes",I:I)</f>
        <v>2.8230769230769234E-3</v>
      </c>
      <c r="W7" s="2">
        <f>AVERAGEIF(M:M,"Yes",J:J)</f>
        <v>-8.0384615384615395E-3</v>
      </c>
      <c r="X7" s="2">
        <f>AVERAGEIF(M:M,"Yes",H:H)</f>
        <v>1.7599999999999771E-3</v>
      </c>
      <c r="Y7" s="2">
        <f>AVERAGEIF(M:M,"Yes",K:K)</f>
        <v>8.3229262594086296E-3</v>
      </c>
    </row>
    <row r="8" spans="1:25" x14ac:dyDescent="0.3">
      <c r="A8" s="3">
        <v>42949</v>
      </c>
      <c r="B8" s="1">
        <v>6</v>
      </c>
      <c r="C8" s="1">
        <v>-0.25</v>
      </c>
      <c r="D8" s="1" t="s">
        <v>7</v>
      </c>
      <c r="E8" s="1">
        <v>2.36</v>
      </c>
      <c r="F8" s="1">
        <f t="shared" si="1"/>
        <v>-2.0299999999999998</v>
      </c>
      <c r="G8" s="2">
        <v>3.0000000000000001E-3</v>
      </c>
      <c r="H8" s="2">
        <v>-3.4399999999999999E-3</v>
      </c>
      <c r="I8" s="2">
        <v>3.7000000000000002E-3</v>
      </c>
      <c r="J8" s="2">
        <v>-3.3E-3</v>
      </c>
      <c r="K8" s="2">
        <v>6.2266933571607903E-2</v>
      </c>
      <c r="L8" s="1" t="str">
        <f>IF(F8&gt;0,"Hike","Cut")</f>
        <v>Cut</v>
      </c>
      <c r="M8" s="1" t="str">
        <f>IF(D8=L8, "No", "Yes")</f>
        <v>No</v>
      </c>
      <c r="N8" s="4">
        <f t="shared" si="2"/>
        <v>3.0000000000000001E-3</v>
      </c>
      <c r="O8" s="4">
        <f t="shared" si="3"/>
        <v>3.4399999999999999E-3</v>
      </c>
      <c r="P8" s="4">
        <f t="shared" si="4"/>
        <v>3.7000000000000002E-3</v>
      </c>
      <c r="Q8" s="4">
        <f t="shared" si="5"/>
        <v>3.3E-3</v>
      </c>
      <c r="R8" s="4">
        <f t="shared" si="6"/>
        <v>6.2266933571607903E-2</v>
      </c>
    </row>
    <row r="9" spans="1:25" x14ac:dyDescent="0.3">
      <c r="A9" s="3">
        <v>43257</v>
      </c>
      <c r="B9" s="1">
        <v>6.25</v>
      </c>
      <c r="C9" s="1">
        <v>0.25</v>
      </c>
      <c r="D9" s="1" t="s">
        <v>8</v>
      </c>
      <c r="E9" s="1">
        <v>4.87</v>
      </c>
      <c r="F9" s="1">
        <f t="shared" si="1"/>
        <v>2.5100000000000002</v>
      </c>
      <c r="G9" s="2">
        <v>-7.1999999999989997E-4</v>
      </c>
      <c r="H9" s="2">
        <v>3.2000000000000002E-3</v>
      </c>
      <c r="I9" s="2">
        <v>-3.3E-3</v>
      </c>
      <c r="J9" s="2">
        <v>8.6E-3</v>
      </c>
      <c r="K9" s="2">
        <v>-2.1383547400931598E-3</v>
      </c>
      <c r="L9" s="1" t="str">
        <f>IF(F9&gt;0,"Hike","Cut")</f>
        <v>Hike</v>
      </c>
      <c r="M9" s="1" t="str">
        <f>IF(D9=L9, "No", "Yes")</f>
        <v>No</v>
      </c>
      <c r="N9" s="4">
        <f t="shared" si="2"/>
        <v>7.1999999999989997E-4</v>
      </c>
      <c r="O9" s="4">
        <f t="shared" si="3"/>
        <v>3.2000000000000002E-3</v>
      </c>
      <c r="P9" s="4">
        <f t="shared" si="4"/>
        <v>3.3E-3</v>
      </c>
      <c r="Q9" s="4">
        <f t="shared" si="5"/>
        <v>8.6E-3</v>
      </c>
      <c r="R9" s="4">
        <f t="shared" si="6"/>
        <v>2.1383547400931598E-3</v>
      </c>
    </row>
    <row r="10" spans="1:25" x14ac:dyDescent="0.3">
      <c r="A10" s="3">
        <v>43313</v>
      </c>
      <c r="B10" s="1">
        <v>6.5</v>
      </c>
      <c r="C10" s="1">
        <v>0.25</v>
      </c>
      <c r="D10" s="1" t="s">
        <v>8</v>
      </c>
      <c r="E10" s="1">
        <v>4.17</v>
      </c>
      <c r="F10" s="1">
        <f t="shared" si="1"/>
        <v>-0.70000000000000018</v>
      </c>
      <c r="G10" s="2">
        <v>3.98E-3</v>
      </c>
      <c r="H10" s="2">
        <v>1.8400000000000001E-3</v>
      </c>
      <c r="I10" s="2">
        <v>3.3E-3</v>
      </c>
      <c r="J10" s="2">
        <v>-8.9999999999999998E-4</v>
      </c>
      <c r="K10" s="2">
        <v>5.9927335093893801E-2</v>
      </c>
      <c r="L10" s="1" t="str">
        <f>IF(F10&gt;0,"Hike","Cut")</f>
        <v>Cut</v>
      </c>
      <c r="M10" s="1" t="str">
        <f>IF(D10=L10, "No", "Yes")</f>
        <v>Yes</v>
      </c>
      <c r="N10" s="4">
        <f t="shared" si="2"/>
        <v>3.98E-3</v>
      </c>
      <c r="O10" s="4">
        <f t="shared" si="3"/>
        <v>1.8400000000000001E-3</v>
      </c>
      <c r="P10" s="4">
        <f t="shared" si="4"/>
        <v>3.3E-3</v>
      </c>
      <c r="Q10" s="4">
        <f t="shared" si="5"/>
        <v>8.9999999999999998E-4</v>
      </c>
      <c r="R10" s="4">
        <f t="shared" si="6"/>
        <v>5.9927335093893801E-2</v>
      </c>
      <c r="T10" s="1" t="s">
        <v>25</v>
      </c>
      <c r="U10" s="7" t="s">
        <v>16</v>
      </c>
      <c r="V10" s="7" t="s">
        <v>17</v>
      </c>
      <c r="W10" s="7" t="s">
        <v>18</v>
      </c>
      <c r="X10" s="7" t="s">
        <v>19</v>
      </c>
      <c r="Y10" s="7" t="s">
        <v>24</v>
      </c>
    </row>
    <row r="11" spans="1:25" x14ac:dyDescent="0.3">
      <c r="A11" s="3">
        <v>43503</v>
      </c>
      <c r="B11" s="1">
        <v>6.25</v>
      </c>
      <c r="C11" s="1">
        <v>-0.25</v>
      </c>
      <c r="D11" s="1" t="s">
        <v>7</v>
      </c>
      <c r="E11" s="1">
        <v>1.97</v>
      </c>
      <c r="F11" s="1">
        <f t="shared" si="1"/>
        <v>-2.2000000000000002</v>
      </c>
      <c r="G11" s="2">
        <v>7.6E-3</v>
      </c>
      <c r="H11" s="2">
        <v>-5.9199999999999999E-3</v>
      </c>
      <c r="I11" s="2">
        <v>1.17E-2</v>
      </c>
      <c r="J11" s="2">
        <v>5.9999999999999995E-4</v>
      </c>
      <c r="K11" s="2">
        <v>3.1064195824036502E-2</v>
      </c>
      <c r="L11" s="1" t="str">
        <f>IF(F11&gt;0,"Hike","Cut")</f>
        <v>Cut</v>
      </c>
      <c r="M11" s="1" t="str">
        <f>IF(D11=L11, "No", "Yes")</f>
        <v>No</v>
      </c>
      <c r="N11" s="4">
        <f t="shared" si="2"/>
        <v>7.6E-3</v>
      </c>
      <c r="O11" s="4">
        <f t="shared" si="3"/>
        <v>5.9199999999999999E-3</v>
      </c>
      <c r="P11" s="4">
        <f t="shared" si="4"/>
        <v>1.17E-2</v>
      </c>
      <c r="Q11" s="4">
        <f t="shared" si="5"/>
        <v>5.9999999999999995E-4</v>
      </c>
      <c r="R11" s="4">
        <f t="shared" si="6"/>
        <v>3.1064195824036502E-2</v>
      </c>
      <c r="T11" s="2" t="s">
        <v>26</v>
      </c>
      <c r="U11" s="2">
        <f>AVERAGEIF($D$2:$D$27, "Hike", $G$2:$G$27)</f>
        <v>-5.2499999999987466E-5</v>
      </c>
      <c r="V11" s="2">
        <f>AVERAGEIF($D$2:$D$27, "Hike", $I$2:$I$27)</f>
        <v>-2.4374999999999996E-3</v>
      </c>
      <c r="W11" s="2">
        <f>AVERAGEIF($D$2:$D$27, "Hike", $J$2:$J$27)</f>
        <v>3.1250000000000039E-4</v>
      </c>
      <c r="X11" s="2">
        <f>AVERAGEIF($D$2:$D$27, "Hike", $H$2:$H$27)</f>
        <v>-7.5000000000125151E-6</v>
      </c>
      <c r="Y11" s="2">
        <f>AVERAGEIF($D$2:$D$27, "Hike", $K$2:$K$27)</f>
        <v>1.4285790646953379E-2</v>
      </c>
    </row>
    <row r="12" spans="1:25" ht="15" x14ac:dyDescent="0.3">
      <c r="A12" s="3">
        <v>43559</v>
      </c>
      <c r="B12" s="1">
        <v>6</v>
      </c>
      <c r="C12" s="1">
        <v>-0.25</v>
      </c>
      <c r="D12" s="1" t="s">
        <v>7</v>
      </c>
      <c r="E12" s="1">
        <v>2.86</v>
      </c>
      <c r="F12" s="1">
        <f t="shared" si="1"/>
        <v>0.8899999999999999</v>
      </c>
      <c r="G12" s="2">
        <v>3.48E-3</v>
      </c>
      <c r="H12" s="2">
        <v>-4.3368086899420102E-20</v>
      </c>
      <c r="I12" s="2">
        <v>-5.8999999999999999E-3</v>
      </c>
      <c r="J12" s="2">
        <v>-3.8999999999999998E-3</v>
      </c>
      <c r="K12" s="2">
        <v>7.1851312187038302E-2</v>
      </c>
      <c r="L12" s="1" t="str">
        <f>IF(F12&gt;0,"Hike","Cut")</f>
        <v>Hike</v>
      </c>
      <c r="M12" s="1" t="str">
        <f>IF(D12=L12, "No", "Yes")</f>
        <v>Yes</v>
      </c>
      <c r="N12" s="4">
        <f t="shared" si="2"/>
        <v>3.48E-3</v>
      </c>
      <c r="O12" s="4">
        <f t="shared" si="3"/>
        <v>4.3368086899420102E-20</v>
      </c>
      <c r="P12" s="4">
        <f t="shared" si="4"/>
        <v>5.8999999999999999E-3</v>
      </c>
      <c r="Q12" s="4">
        <f t="shared" si="5"/>
        <v>3.8999999999999998E-3</v>
      </c>
      <c r="R12" s="4">
        <f t="shared" si="6"/>
        <v>7.1851312187038302E-2</v>
      </c>
      <c r="T12" s="2" t="s">
        <v>7</v>
      </c>
      <c r="U12" s="8">
        <f>AVERAGEIF($D$2:$D$27, "Cut", $G$2:$G$27)</f>
        <v>1.4533333333333275E-3</v>
      </c>
      <c r="V12" s="2">
        <f>AVERAGEIF($D$2:$D$27, "Cut", $I$2:$I$27)</f>
        <v>4.6888888888888883E-3</v>
      </c>
      <c r="W12" s="8">
        <f>AVERAGEIF($D$2:$D$27, "Cut", $J$2:$J$27)</f>
        <v>-3.0555555555555544E-3</v>
      </c>
      <c r="X12" s="2">
        <f>AVERAGEIF($D$2:$D$27, "Cut", $H$2:$H$27)</f>
        <v>1.6855555555555447E-3</v>
      </c>
      <c r="Y12" s="2">
        <f>AVERAGEIF($D$2:$D$27, "Cut", $K$2:$K$27)</f>
        <v>8.3851670319211866E-4</v>
      </c>
    </row>
    <row r="13" spans="1:25" x14ac:dyDescent="0.3">
      <c r="A13" s="3">
        <v>43622</v>
      </c>
      <c r="B13" s="1">
        <v>5.75</v>
      </c>
      <c r="C13" s="1">
        <v>-0.25</v>
      </c>
      <c r="D13" s="1" t="s">
        <v>7</v>
      </c>
      <c r="E13" s="1">
        <v>3.05</v>
      </c>
      <c r="F13" s="1">
        <f t="shared" si="1"/>
        <v>0.18999999999999995</v>
      </c>
      <c r="G13" s="2">
        <v>1.5799999999999001E-3</v>
      </c>
      <c r="H13" s="2">
        <v>1.1999999999999999E-3</v>
      </c>
      <c r="I13" s="2">
        <v>-5.4999999999999997E-3</v>
      </c>
      <c r="J13" s="2">
        <v>-1.4800000000000001E-2</v>
      </c>
      <c r="K13" s="2">
        <v>2.6285468131427899E-2</v>
      </c>
      <c r="L13" s="1" t="str">
        <f>IF(F13&gt;0,"Hike","Cut")</f>
        <v>Hike</v>
      </c>
      <c r="M13" s="1" t="str">
        <f>IF(D13=L13, "No", "Yes")</f>
        <v>Yes</v>
      </c>
      <c r="N13" s="4">
        <f t="shared" si="2"/>
        <v>1.5799999999999001E-3</v>
      </c>
      <c r="O13" s="4">
        <f t="shared" si="3"/>
        <v>1.1999999999999999E-3</v>
      </c>
      <c r="P13" s="4">
        <f t="shared" si="4"/>
        <v>5.4999999999999997E-3</v>
      </c>
      <c r="Q13" s="4">
        <f t="shared" si="5"/>
        <v>1.4800000000000001E-2</v>
      </c>
      <c r="R13" s="4">
        <f t="shared" si="6"/>
        <v>2.6285468131427899E-2</v>
      </c>
    </row>
    <row r="14" spans="1:25" x14ac:dyDescent="0.3">
      <c r="A14" s="3">
        <v>43684</v>
      </c>
      <c r="B14" s="1">
        <v>5.4</v>
      </c>
      <c r="C14" s="1">
        <v>-0.34999999999999898</v>
      </c>
      <c r="D14" s="1" t="s">
        <v>7</v>
      </c>
      <c r="E14" s="1">
        <v>3.15</v>
      </c>
      <c r="F14" s="1">
        <f t="shared" si="1"/>
        <v>0.10000000000000009</v>
      </c>
      <c r="G14" s="2">
        <v>-2.4599999999999002E-3</v>
      </c>
      <c r="H14" s="2">
        <v>3.5999999999999002E-3</v>
      </c>
      <c r="I14" s="2">
        <v>7.9000000000000008E-3</v>
      </c>
      <c r="J14" s="2">
        <v>-8.5000000000000006E-3</v>
      </c>
      <c r="K14" s="2">
        <v>-7.3054904866418996E-2</v>
      </c>
      <c r="L14" s="1" t="str">
        <f>IF(F14&gt;0,"Hike","Cut")</f>
        <v>Hike</v>
      </c>
      <c r="M14" s="1" t="str">
        <f>IF(D14=L14, "No", "Yes")</f>
        <v>Yes</v>
      </c>
      <c r="N14" s="4">
        <f t="shared" si="2"/>
        <v>2.4599999999999002E-3</v>
      </c>
      <c r="O14" s="4">
        <f t="shared" si="3"/>
        <v>3.5999999999999002E-3</v>
      </c>
      <c r="P14" s="4">
        <f t="shared" si="4"/>
        <v>7.9000000000000008E-3</v>
      </c>
      <c r="Q14" s="4">
        <f t="shared" si="5"/>
        <v>8.5000000000000006E-3</v>
      </c>
      <c r="R14" s="4">
        <f t="shared" si="6"/>
        <v>7.3054904866418996E-2</v>
      </c>
      <c r="T14" s="2" t="s">
        <v>28</v>
      </c>
      <c r="U14" s="7" t="s">
        <v>16</v>
      </c>
      <c r="V14" s="7" t="s">
        <v>17</v>
      </c>
      <c r="W14" s="7" t="s">
        <v>18</v>
      </c>
      <c r="X14" s="7" t="s">
        <v>19</v>
      </c>
      <c r="Y14" s="7" t="s">
        <v>24</v>
      </c>
    </row>
    <row r="15" spans="1:25" x14ac:dyDescent="0.3">
      <c r="A15" s="3">
        <v>43742</v>
      </c>
      <c r="B15" s="1">
        <v>5.15</v>
      </c>
      <c r="C15" s="1">
        <v>-0.25</v>
      </c>
      <c r="D15" s="1" t="s">
        <v>7</v>
      </c>
      <c r="E15" s="1">
        <v>3.99</v>
      </c>
      <c r="F15" s="1">
        <f>E15-E14</f>
        <v>0.8400000000000003</v>
      </c>
      <c r="G15" s="2">
        <v>-2.1800000000000001E-3</v>
      </c>
      <c r="H15" s="2">
        <v>2.9999999999998999E-3</v>
      </c>
      <c r="I15" s="2">
        <v>-4.0000000000000001E-3</v>
      </c>
      <c r="J15" s="2">
        <v>-1.23E-2</v>
      </c>
      <c r="K15" s="2">
        <v>4.7949407163699803E-2</v>
      </c>
      <c r="L15" s="1" t="str">
        <f>IF(F15&gt;0,"Hike","Cut")</f>
        <v>Hike</v>
      </c>
      <c r="M15" s="1" t="str">
        <f>IF(D15=L15, "No", "Yes")</f>
        <v>Yes</v>
      </c>
      <c r="N15" s="4">
        <f t="shared" si="2"/>
        <v>2.1800000000000001E-3</v>
      </c>
      <c r="O15" s="4">
        <f t="shared" si="3"/>
        <v>2.9999999999998999E-3</v>
      </c>
      <c r="P15" s="4">
        <f t="shared" si="4"/>
        <v>4.0000000000000001E-3</v>
      </c>
      <c r="Q15" s="4">
        <f t="shared" si="5"/>
        <v>1.23E-2</v>
      </c>
      <c r="R15" s="4">
        <f t="shared" si="6"/>
        <v>4.7949407163699803E-2</v>
      </c>
      <c r="T15" s="9" t="s">
        <v>9</v>
      </c>
      <c r="U15" s="2">
        <f>AVERAGEIF($M$2:$M$27, "No", $G$2:$G$27)</f>
        <v>-2.9692307692307689E-4</v>
      </c>
      <c r="V15" s="2">
        <f>AVERAGEIF($M$2:$M$27, "No", $I$2:$I$27)</f>
        <v>2.1692307692307692E-3</v>
      </c>
      <c r="W15" s="2">
        <f>AVERAGEIF($M$2:$M$27, "No", $J$2:$J$27)</f>
        <v>4.0000000000000001E-3</v>
      </c>
      <c r="X15" s="2">
        <f>AVERAGEIF($M$2:$M$27, "No", $H$2:$H$27)</f>
        <v>5.6923076923076914E-4</v>
      </c>
      <c r="Y15" s="2">
        <f>AVERAGEIF($M$2:$M$27, "No", $K$2:$K$27)</f>
        <v>1.6293526508286921E-3</v>
      </c>
    </row>
    <row r="16" spans="1:25" x14ac:dyDescent="0.3">
      <c r="A16" s="3">
        <v>43917</v>
      </c>
      <c r="B16" s="1">
        <v>4.4000000000000004</v>
      </c>
      <c r="C16" s="1">
        <v>-0.75</v>
      </c>
      <c r="D16" s="1" t="s">
        <v>7</v>
      </c>
      <c r="E16" s="1">
        <v>6.58</v>
      </c>
      <c r="F16" s="1">
        <f>E16-E15</f>
        <v>2.59</v>
      </c>
      <c r="G16" s="2">
        <v>1.17399999999999E-2</v>
      </c>
      <c r="H16" s="2">
        <v>4.2799999999999002E-3</v>
      </c>
      <c r="I16" s="2">
        <v>3.8899999999999997E-2</v>
      </c>
      <c r="J16" s="2">
        <v>2.2000000000000001E-3</v>
      </c>
      <c r="K16" s="2">
        <v>-0.26003870841927801</v>
      </c>
      <c r="L16" s="1" t="str">
        <f>IF(F16&gt;0,"Hike","Cut")</f>
        <v>Hike</v>
      </c>
      <c r="M16" s="1" t="str">
        <f>IF(D16=L16, "No", "Yes")</f>
        <v>Yes</v>
      </c>
      <c r="N16" s="4">
        <f>ABS(G16)</f>
        <v>1.17399999999999E-2</v>
      </c>
      <c r="O16" s="4">
        <f>ABS(H16)</f>
        <v>4.2799999999999002E-3</v>
      </c>
      <c r="P16" s="4">
        <f>ABS(I16)</f>
        <v>3.8899999999999997E-2</v>
      </c>
      <c r="Q16" s="4">
        <f>ABS(J16)</f>
        <v>2.2000000000000001E-3</v>
      </c>
      <c r="R16" s="4">
        <f>ABS(K16)</f>
        <v>0.26003870841927801</v>
      </c>
      <c r="T16" s="10" t="s">
        <v>10</v>
      </c>
      <c r="U16" s="2">
        <f>AVERAGEIF($M$2:$M$27, "Yes", $G$2:$G$27)</f>
        <v>2.2769230769230766E-3</v>
      </c>
      <c r="V16" s="2">
        <f>AVERAGEIF($M$2:$M$27, "Yes", $I$2:$I$27)</f>
        <v>2.8230769230769234E-3</v>
      </c>
      <c r="W16" s="2">
        <f>AVERAGEIF($M$2:$M$27, "Yes", $J$2:$J$27)</f>
        <v>-8.0384615384615395E-3</v>
      </c>
      <c r="X16" s="2">
        <f>AVERAGEIF($M$2:$M$27, "Yes", $H$2:$H$27)</f>
        <v>1.7599999999999771E-3</v>
      </c>
      <c r="Y16" s="2">
        <f>AVERAGEIF($M$2:$M$27, "Yes", $K$2:$K$27)</f>
        <v>8.3229262594086296E-3</v>
      </c>
    </row>
    <row r="17" spans="1:21" x14ac:dyDescent="0.3">
      <c r="A17" s="3">
        <v>43973</v>
      </c>
      <c r="B17" s="1">
        <v>4</v>
      </c>
      <c r="C17" s="1">
        <v>-0.4</v>
      </c>
      <c r="D17" s="1" t="s">
        <v>7</v>
      </c>
      <c r="E17" s="1">
        <v>7.22</v>
      </c>
      <c r="F17" s="1">
        <f>E17-E16</f>
        <v>0.63999999999999968</v>
      </c>
      <c r="G17" s="2">
        <v>-6.1999999999990004E-4</v>
      </c>
      <c r="H17" s="2">
        <v>1.6920000000000001E-2</v>
      </c>
      <c r="I17" s="2">
        <v>4.4000000000000003E-3</v>
      </c>
      <c r="J17" s="2">
        <v>-7.4000000000000003E-3</v>
      </c>
      <c r="K17" s="2">
        <v>1.39387178790437E-2</v>
      </c>
      <c r="L17" s="1" t="str">
        <f>IF(F17&gt;0,"Hike","Cut")</f>
        <v>Hike</v>
      </c>
      <c r="M17" s="1" t="str">
        <f>IF(D17=L17, "No", "Yes")</f>
        <v>Yes</v>
      </c>
      <c r="N17" s="4">
        <f t="shared" si="2"/>
        <v>6.1999999999990004E-4</v>
      </c>
      <c r="O17" s="4">
        <f t="shared" si="3"/>
        <v>1.6920000000000001E-2</v>
      </c>
      <c r="P17" s="4">
        <f t="shared" si="4"/>
        <v>4.4000000000000003E-3</v>
      </c>
      <c r="Q17" s="4">
        <f t="shared" si="5"/>
        <v>7.4000000000000003E-3</v>
      </c>
      <c r="R17" s="4">
        <f t="shared" si="6"/>
        <v>1.39387178790437E-2</v>
      </c>
    </row>
    <row r="18" spans="1:21" x14ac:dyDescent="0.3">
      <c r="A18" s="3">
        <v>44685</v>
      </c>
      <c r="B18" s="1">
        <v>4.4000000000000004</v>
      </c>
      <c r="C18" s="1">
        <v>0.4</v>
      </c>
      <c r="D18" s="1" t="s">
        <v>8</v>
      </c>
      <c r="E18" s="1">
        <v>7.79</v>
      </c>
      <c r="F18" s="1">
        <f t="shared" si="1"/>
        <v>0.57000000000000028</v>
      </c>
      <c r="G18" s="2">
        <v>1.3999999999999E-3</v>
      </c>
      <c r="H18" s="2">
        <v>-6.1999999999999998E-3</v>
      </c>
      <c r="I18" s="2">
        <v>-2E-3</v>
      </c>
      <c r="J18" s="2">
        <v>-2.29E-2</v>
      </c>
      <c r="K18" s="2">
        <v>-3.4040541422084999E-2</v>
      </c>
      <c r="L18" s="1" t="str">
        <f>IF(F18&gt;0,"Hike","Cut")</f>
        <v>Hike</v>
      </c>
      <c r="M18" s="1" t="str">
        <f>IF(D18=L18, "No", "Yes")</f>
        <v>No</v>
      </c>
      <c r="N18" s="4">
        <f t="shared" si="2"/>
        <v>1.3999999999999E-3</v>
      </c>
      <c r="O18" s="4">
        <f t="shared" si="3"/>
        <v>6.1999999999999998E-3</v>
      </c>
      <c r="P18" s="4">
        <f t="shared" si="4"/>
        <v>2E-3</v>
      </c>
      <c r="Q18" s="4">
        <f t="shared" si="5"/>
        <v>2.29E-2</v>
      </c>
      <c r="R18" s="4">
        <f t="shared" si="6"/>
        <v>3.4040541422084999E-2</v>
      </c>
    </row>
    <row r="19" spans="1:21" x14ac:dyDescent="0.3">
      <c r="A19" s="3">
        <v>44720</v>
      </c>
      <c r="B19" s="1">
        <v>4.9000000000000004</v>
      </c>
      <c r="C19" s="1">
        <v>0.5</v>
      </c>
      <c r="D19" s="1" t="s">
        <v>8</v>
      </c>
      <c r="E19" s="1">
        <v>7.04</v>
      </c>
      <c r="F19" s="1">
        <f t="shared" si="1"/>
        <v>-0.75</v>
      </c>
      <c r="G19" s="2">
        <v>-2E-3</v>
      </c>
      <c r="H19" s="2">
        <v>-8.2000000000000007E-3</v>
      </c>
      <c r="I19" s="2">
        <v>-9.1999999999999998E-3</v>
      </c>
      <c r="J19" s="2">
        <v>-3.7000000000000002E-3</v>
      </c>
      <c r="K19" s="2">
        <v>3.8985758934950699E-4</v>
      </c>
      <c r="L19" s="1" t="str">
        <f>IF(F19&gt;0,"Hike","Cut")</f>
        <v>Cut</v>
      </c>
      <c r="M19" s="1" t="str">
        <f>IF(D19=L19, "No", "Yes")</f>
        <v>Yes</v>
      </c>
      <c r="N19" s="4">
        <f t="shared" si="2"/>
        <v>2E-3</v>
      </c>
      <c r="O19" s="4">
        <f t="shared" si="3"/>
        <v>8.2000000000000007E-3</v>
      </c>
      <c r="P19" s="4">
        <f t="shared" si="4"/>
        <v>9.1999999999999998E-3</v>
      </c>
      <c r="Q19" s="4">
        <f t="shared" si="5"/>
        <v>3.7000000000000002E-3</v>
      </c>
      <c r="R19" s="4">
        <f t="shared" si="6"/>
        <v>3.8985758934950699E-4</v>
      </c>
    </row>
    <row r="20" spans="1:21" x14ac:dyDescent="0.3">
      <c r="A20" s="3">
        <v>44778</v>
      </c>
      <c r="B20" s="1">
        <v>5.4</v>
      </c>
      <c r="C20" s="1">
        <v>0.5</v>
      </c>
      <c r="D20" s="1" t="s">
        <v>8</v>
      </c>
      <c r="E20" s="1">
        <v>6.71</v>
      </c>
      <c r="F20" s="1">
        <f t="shared" si="1"/>
        <v>-0.33000000000000007</v>
      </c>
      <c r="G20" s="2">
        <v>5.3E-3</v>
      </c>
      <c r="H20" s="2">
        <v>4.8799999999999998E-3</v>
      </c>
      <c r="I20" s="2">
        <v>-4.0000000000000002E-4</v>
      </c>
      <c r="J20" s="2">
        <v>8.9999999999999998E-4</v>
      </c>
      <c r="K20" s="2">
        <v>9.7561904962361903E-2</v>
      </c>
      <c r="L20" s="1" t="str">
        <f>IF(F20&gt;0,"Hike","Cut")</f>
        <v>Cut</v>
      </c>
      <c r="M20" s="1" t="str">
        <f>IF(D20=L20, "No", "Yes")</f>
        <v>Yes</v>
      </c>
      <c r="N20" s="4">
        <f t="shared" si="2"/>
        <v>5.3E-3</v>
      </c>
      <c r="O20" s="4">
        <f t="shared" si="3"/>
        <v>4.8799999999999998E-3</v>
      </c>
      <c r="P20" s="4">
        <f t="shared" si="4"/>
        <v>4.0000000000000002E-4</v>
      </c>
      <c r="Q20" s="4">
        <f t="shared" si="5"/>
        <v>8.9999999999999998E-4</v>
      </c>
      <c r="R20" s="4">
        <f t="shared" si="6"/>
        <v>9.7561904962361903E-2</v>
      </c>
    </row>
    <row r="21" spans="1:21" x14ac:dyDescent="0.3">
      <c r="A21" s="3">
        <v>44834</v>
      </c>
      <c r="B21" s="1">
        <v>5.9</v>
      </c>
      <c r="C21" s="1">
        <v>0.5</v>
      </c>
      <c r="D21" s="1" t="s">
        <v>8</v>
      </c>
      <c r="E21" s="1">
        <v>7</v>
      </c>
      <c r="F21" s="1">
        <f t="shared" si="1"/>
        <v>0.29000000000000004</v>
      </c>
      <c r="G21" s="2">
        <v>-9.3599999999998997E-3</v>
      </c>
      <c r="H21" s="2">
        <v>1.7600000000000001E-3</v>
      </c>
      <c r="I21" s="2">
        <v>-2.3999999999999998E-3</v>
      </c>
      <c r="J21" s="2">
        <v>1.6400000000000001E-2</v>
      </c>
      <c r="K21" s="2">
        <v>-2.8683729284801399E-2</v>
      </c>
      <c r="L21" s="1" t="str">
        <f>IF(F21&gt;0,"Hike","Cut")</f>
        <v>Hike</v>
      </c>
      <c r="M21" s="1" t="str">
        <f>IF(D21=L21, "No", "Yes")</f>
        <v>No</v>
      </c>
      <c r="N21" s="4">
        <f t="shared" si="2"/>
        <v>9.3599999999998997E-3</v>
      </c>
      <c r="O21" s="4">
        <f t="shared" si="3"/>
        <v>1.7600000000000001E-3</v>
      </c>
      <c r="P21" s="4">
        <f t="shared" si="4"/>
        <v>2.3999999999999998E-3</v>
      </c>
      <c r="Q21" s="4">
        <f t="shared" si="5"/>
        <v>1.6400000000000001E-2</v>
      </c>
      <c r="R21" s="4">
        <f t="shared" si="6"/>
        <v>2.8683729284801399E-2</v>
      </c>
    </row>
    <row r="22" spans="1:21" x14ac:dyDescent="0.3">
      <c r="A22" s="3">
        <v>44902</v>
      </c>
      <c r="B22" s="1">
        <v>6.25</v>
      </c>
      <c r="C22" s="1">
        <v>0.34999999999999898</v>
      </c>
      <c r="D22" s="1" t="s">
        <v>8</v>
      </c>
      <c r="E22" s="1">
        <v>5.88</v>
      </c>
      <c r="F22" s="1">
        <f t="shared" si="1"/>
        <v>-1.1200000000000001</v>
      </c>
      <c r="G22" s="2">
        <v>2.7999999999999998E-4</v>
      </c>
      <c r="H22" s="2">
        <v>1.0599999999999E-3</v>
      </c>
      <c r="I22" s="2">
        <v>-3.0999999999999999E-3</v>
      </c>
      <c r="J22" s="2">
        <v>-4.4000000000000003E-3</v>
      </c>
      <c r="K22" s="2">
        <v>2.9019148347219002E-2</v>
      </c>
      <c r="L22" s="1" t="str">
        <f>IF(F22&gt;0,"Hike","Cut")</f>
        <v>Cut</v>
      </c>
      <c r="M22" s="1" t="str">
        <f>IF(D22=L22, "No", "Yes")</f>
        <v>Yes</v>
      </c>
      <c r="N22" s="4">
        <f t="shared" si="2"/>
        <v>2.7999999999999998E-4</v>
      </c>
      <c r="O22" s="4">
        <f t="shared" si="3"/>
        <v>1.0599999999999E-3</v>
      </c>
      <c r="P22" s="4">
        <f t="shared" si="4"/>
        <v>3.0999999999999999E-3</v>
      </c>
      <c r="Q22" s="4">
        <f t="shared" si="5"/>
        <v>4.4000000000000003E-3</v>
      </c>
      <c r="R22" s="4">
        <f t="shared" si="6"/>
        <v>2.9019148347219002E-2</v>
      </c>
    </row>
    <row r="23" spans="1:21" x14ac:dyDescent="0.3">
      <c r="A23" s="3">
        <v>44965</v>
      </c>
      <c r="B23" s="1">
        <v>6.5</v>
      </c>
      <c r="C23" s="1">
        <v>0.25</v>
      </c>
      <c r="D23" s="1" t="s">
        <v>8</v>
      </c>
      <c r="E23" s="1">
        <v>6.52</v>
      </c>
      <c r="F23" s="1">
        <f>E23-E22</f>
        <v>0.63999999999999968</v>
      </c>
      <c r="G23" s="2">
        <v>6.9999999999999999E-4</v>
      </c>
      <c r="H23" s="2">
        <v>1.6000000000000001E-3</v>
      </c>
      <c r="I23" s="2">
        <v>-2.3999999999999998E-3</v>
      </c>
      <c r="J23" s="2">
        <v>8.5000000000000006E-3</v>
      </c>
      <c r="K23" s="2">
        <v>-7.7492953702176202E-3</v>
      </c>
      <c r="L23" s="1" t="str">
        <f>IF(F23&gt;0,"Hike","Cut")</f>
        <v>Hike</v>
      </c>
      <c r="M23" s="1" t="str">
        <f>IF(D23=L23, "No", "Yes")</f>
        <v>No</v>
      </c>
      <c r="N23" s="4">
        <f t="shared" si="2"/>
        <v>6.9999999999999999E-4</v>
      </c>
      <c r="O23" s="4">
        <f t="shared" si="3"/>
        <v>1.6000000000000001E-3</v>
      </c>
      <c r="P23" s="4">
        <f t="shared" si="4"/>
        <v>2.3999999999999998E-3</v>
      </c>
      <c r="Q23" s="4">
        <f t="shared" si="5"/>
        <v>8.5000000000000006E-3</v>
      </c>
      <c r="R23" s="4">
        <f t="shared" si="6"/>
        <v>7.7492953702176202E-3</v>
      </c>
    </row>
    <row r="24" spans="1:21" x14ac:dyDescent="0.3">
      <c r="A24" s="3">
        <v>45695</v>
      </c>
      <c r="B24" s="1">
        <v>6.25</v>
      </c>
      <c r="C24" s="1">
        <v>-0.25</v>
      </c>
      <c r="D24" s="1" t="s">
        <v>7</v>
      </c>
      <c r="E24" s="1">
        <v>4.26</v>
      </c>
      <c r="F24" s="1">
        <f t="shared" si="1"/>
        <v>-2.2599999999999998</v>
      </c>
      <c r="G24" s="2">
        <v>8.3999999999989996E-4</v>
      </c>
      <c r="H24" s="2">
        <v>-5.4000000000000003E-3</v>
      </c>
      <c r="I24" s="2">
        <v>-3.8999999999999998E-3</v>
      </c>
      <c r="J24" s="2">
        <v>-1.8E-3</v>
      </c>
      <c r="K24" s="2">
        <v>-5.6400114733201601E-4</v>
      </c>
      <c r="L24" s="1" t="str">
        <f>IF(F24&gt;0,"Hike","Cut")</f>
        <v>Cut</v>
      </c>
      <c r="M24" s="1" t="str">
        <f>IF(D24=L24, "No", "Yes")</f>
        <v>No</v>
      </c>
      <c r="N24" s="4">
        <f t="shared" si="2"/>
        <v>8.3999999999989996E-4</v>
      </c>
      <c r="O24" s="4">
        <f t="shared" si="3"/>
        <v>5.4000000000000003E-3</v>
      </c>
      <c r="P24" s="4">
        <f t="shared" si="4"/>
        <v>3.8999999999999998E-3</v>
      </c>
      <c r="Q24" s="4">
        <f t="shared" si="5"/>
        <v>1.8E-3</v>
      </c>
      <c r="R24" s="4">
        <f t="shared" si="6"/>
        <v>5.6400114733201601E-4</v>
      </c>
    </row>
    <row r="25" spans="1:21" x14ac:dyDescent="0.3">
      <c r="A25" s="3">
        <v>45756</v>
      </c>
      <c r="B25" s="1">
        <v>6</v>
      </c>
      <c r="C25" s="1">
        <v>-0.25</v>
      </c>
      <c r="D25" s="1" t="s">
        <v>7</v>
      </c>
      <c r="E25" s="1">
        <v>3.34</v>
      </c>
      <c r="F25" s="1">
        <f t="shared" si="1"/>
        <v>-0.91999999999999993</v>
      </c>
      <c r="G25" s="2">
        <v>-5.3400000000000001E-3</v>
      </c>
      <c r="H25" s="2">
        <v>1.4999999999999999E-2</v>
      </c>
      <c r="I25" s="2">
        <v>1.6899999999999998E-2</v>
      </c>
      <c r="J25" s="2">
        <v>-6.1000000000000004E-3</v>
      </c>
      <c r="K25" s="2">
        <v>-6.0405867671286997E-4</v>
      </c>
      <c r="L25" s="1" t="str">
        <f>IF(F25&gt;0,"Hike","Cut")</f>
        <v>Cut</v>
      </c>
      <c r="M25" s="1" t="str">
        <f>IF(D25=L25, "No", "Yes")</f>
        <v>No</v>
      </c>
      <c r="N25" s="4">
        <f t="shared" si="2"/>
        <v>5.3400000000000001E-3</v>
      </c>
      <c r="O25" s="4">
        <f t="shared" si="3"/>
        <v>1.4999999999999999E-2</v>
      </c>
      <c r="P25" s="4">
        <f t="shared" si="4"/>
        <v>1.6899999999999998E-2</v>
      </c>
      <c r="Q25" s="4">
        <f t="shared" si="5"/>
        <v>6.1000000000000004E-3</v>
      </c>
      <c r="R25" s="4">
        <f t="shared" si="6"/>
        <v>6.0405867671286997E-4</v>
      </c>
    </row>
    <row r="26" spans="1:21" x14ac:dyDescent="0.3">
      <c r="A26" s="3">
        <v>45814</v>
      </c>
      <c r="B26" s="1">
        <v>5.5</v>
      </c>
      <c r="C26" s="1">
        <v>-0.5</v>
      </c>
      <c r="D26" s="1" t="s">
        <v>7</v>
      </c>
      <c r="E26" s="1">
        <v>2.82</v>
      </c>
      <c r="F26" s="1">
        <f t="shared" si="1"/>
        <v>-0.52</v>
      </c>
      <c r="G26" s="2">
        <v>-6.4000000000000005E-4</v>
      </c>
      <c r="H26" s="2">
        <v>-2.2799999999999999E-3</v>
      </c>
      <c r="I26" s="2">
        <v>5.3E-3</v>
      </c>
      <c r="J26" s="2">
        <v>1.0200000000000001E-2</v>
      </c>
      <c r="K26" s="2">
        <v>1.17823474078906E-2</v>
      </c>
      <c r="L26" s="1" t="str">
        <f>IF(F26&gt;0,"Hike","Cut")</f>
        <v>Cut</v>
      </c>
      <c r="M26" s="1" t="str">
        <f>IF(D26=L26, "No", "Yes")</f>
        <v>No</v>
      </c>
      <c r="N26" s="4">
        <f t="shared" si="2"/>
        <v>6.4000000000000005E-4</v>
      </c>
      <c r="O26" s="4">
        <f t="shared" si="3"/>
        <v>2.2799999999999999E-3</v>
      </c>
      <c r="P26" s="4">
        <f t="shared" si="4"/>
        <v>5.3E-3</v>
      </c>
      <c r="Q26" s="4">
        <f t="shared" si="5"/>
        <v>1.0200000000000001E-2</v>
      </c>
      <c r="R26" s="4">
        <f t="shared" si="6"/>
        <v>1.17823474078906E-2</v>
      </c>
    </row>
    <row r="27" spans="1:21" x14ac:dyDescent="0.3">
      <c r="A27" s="3">
        <v>45996</v>
      </c>
      <c r="B27" s="1">
        <v>5.25</v>
      </c>
      <c r="C27" s="1">
        <v>-0.25</v>
      </c>
      <c r="D27" s="1" t="s">
        <v>7</v>
      </c>
      <c r="E27" s="1">
        <v>0.71</v>
      </c>
      <c r="F27" s="1">
        <f t="shared" si="1"/>
        <v>-2.11</v>
      </c>
      <c r="G27" s="2">
        <v>-1.3999999999999E-3</v>
      </c>
      <c r="H27" s="2">
        <v>-1.06E-3</v>
      </c>
      <c r="I27" s="2">
        <v>1.8E-3</v>
      </c>
      <c r="J27" s="2">
        <v>5.8999999999999999E-3</v>
      </c>
      <c r="K27" s="2">
        <v>1.6929323750767899E-2</v>
      </c>
      <c r="L27" s="1" t="str">
        <f>IF(F27&gt;0,"Hike","Cut")</f>
        <v>Cut</v>
      </c>
      <c r="M27" s="1" t="str">
        <f>IF(D27=L27, "No", "Yes")</f>
        <v>No</v>
      </c>
      <c r="N27" s="4">
        <f t="shared" si="2"/>
        <v>1.3999999999999E-3</v>
      </c>
      <c r="O27" s="4">
        <f t="shared" si="3"/>
        <v>1.06E-3</v>
      </c>
      <c r="P27" s="4">
        <f t="shared" si="4"/>
        <v>1.8E-3</v>
      </c>
      <c r="Q27" s="4">
        <f t="shared" si="5"/>
        <v>5.8999999999999999E-3</v>
      </c>
      <c r="R27" s="4">
        <f t="shared" si="6"/>
        <v>1.6929323750767899E-2</v>
      </c>
    </row>
    <row r="29" spans="1:21" x14ac:dyDescent="0.3">
      <c r="U29" s="2"/>
    </row>
    <row r="30" spans="1:21" x14ac:dyDescent="0.3">
      <c r="U30" s="2"/>
    </row>
    <row r="31" spans="1:21" x14ac:dyDescent="0.3">
      <c r="U31" s="2"/>
    </row>
  </sheetData>
  <mergeCells count="1">
    <mergeCell ref="U1:V1"/>
  </mergeCells>
  <phoneticPr fontId="21" type="noConversion"/>
  <pageMargins left="0.7" right="0.7" top="0.75" bottom="0.75" header="0.3" footer="0.3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corrected_event_table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Rohan The Handsome boy</dc:creator>
  <cp:lastModifiedBy>Rohan Deogaonkar</cp:lastModifiedBy>
  <dcterms:created xsi:type="dcterms:W3CDTF">2026-04-22T18:35:06Z</dcterms:created>
  <dcterms:modified xsi:type="dcterms:W3CDTF">2026-04-22T20:38:40Z</dcterms:modified>
</cp:coreProperties>
</file>