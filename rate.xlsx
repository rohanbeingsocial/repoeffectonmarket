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an\Desktop\PBL\"/>
    </mc:Choice>
  </mc:AlternateContent>
  <xr:revisionPtr revIDLastSave="0" documentId="13_ncr:1_{DB68B22D-8661-41BB-A7AF-B67E8A7368FE}" xr6:coauthVersionLast="47" xr6:coauthVersionMax="47" xr10:uidLastSave="{00000000-0000-0000-0000-000000000000}"/>
  <bookViews>
    <workbookView xWindow="-108" yWindow="-108" windowWidth="30936" windowHeight="17496" xr2:uid="{352CAC39-736F-4522-9231-3DEE94D67801}"/>
  </bookViews>
  <sheets>
    <sheet name="Sheet1" sheetId="1" r:id="rId1"/>
  </sheets>
  <definedNames>
    <definedName name="_xlnm._FilterDatabase" localSheetId="0" hidden="1">Sheet1!$A$1:$B$71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1" l="1"/>
  <c r="D27" i="1"/>
  <c r="D30" i="1"/>
  <c r="D31" i="1"/>
  <c r="D3" i="1"/>
  <c r="D6" i="1"/>
  <c r="D7" i="1"/>
  <c r="D11" i="1"/>
  <c r="D16" i="1"/>
  <c r="D18" i="1"/>
  <c r="D22" i="1"/>
  <c r="D59" i="1"/>
  <c r="D60" i="1"/>
  <c r="D62" i="1"/>
  <c r="D64" i="1"/>
  <c r="D65" i="1"/>
  <c r="D67" i="1"/>
  <c r="D68" i="1"/>
  <c r="D69" i="1"/>
  <c r="D43" i="1"/>
  <c r="D45" i="1"/>
  <c r="D48" i="1"/>
  <c r="D49" i="1"/>
  <c r="D52" i="1"/>
  <c r="D53" i="1"/>
  <c r="D57" i="1"/>
  <c r="D58" i="1"/>
  <c r="D35" i="1"/>
  <c r="D38" i="1"/>
  <c r="D2" i="1"/>
  <c r="C65" i="1"/>
  <c r="C66" i="1"/>
  <c r="C67" i="1"/>
  <c r="C68" i="1"/>
  <c r="C69" i="1"/>
  <c r="C70" i="1"/>
  <c r="C71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35" i="1"/>
  <c r="C36" i="1"/>
  <c r="C37" i="1"/>
  <c r="C38" i="1"/>
  <c r="C39" i="1"/>
  <c r="C40" i="1"/>
  <c r="C41" i="1"/>
  <c r="C42" i="1"/>
  <c r="C43" i="1"/>
  <c r="C44" i="1"/>
  <c r="C45" i="1"/>
  <c r="C46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4" i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<sst xmlns="http://schemas.openxmlformats.org/spreadsheetml/2006/main" count="24" uniqueCount="6">
  <si>
    <t>Date</t>
  </si>
  <si>
    <t>Repo</t>
  </si>
  <si>
    <t>Change</t>
  </si>
  <si>
    <t>Type</t>
  </si>
  <si>
    <t>Cut</t>
  </si>
  <si>
    <t>Hike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</si>
</sst>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Aptos Narrow"/>
      <family val="2"/>
      <scheme val="minor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42A0-8EED-4AD3-A709-CFC9024BF6D7}">
  <dimension ref="A1:D71"/>
  <sheetViews>
    <sheetView tabSelected="1" topLeftCell="A36" zoomScale="115" zoomScaleNormal="115" workbookViewId="0">
      <selection activeCell="H49" sqref="H49"/>
    </sheetView>
  </sheetViews>
  <sheetFormatPr defaultRowHeight="14.4" x14ac:dyDescent="0.3"/>
  <cols>
    <col min="1" max="1" width="17.21875" style="6" customWidth="1"/>
    <col min="2" max="2" width="16.109375" style="6" customWidth="1"/>
    <col min="3" max="3" width="8.88671875" style="6"/>
    <col min="4" max="4" width="9.88671875" style="6" bestFit="1" customWidth="1"/>
    <col min="5" max="16384" width="8.88671875" style="6"/>
  </cols>
  <sheetData>
    <row r="1" spans="1:4" x14ac:dyDescent="0.3">
      <c r="A1" s="1" t="s">
        <v>0</v>
      </c>
      <c r="B1" s="5" t="s">
        <v>1</v>
      </c>
      <c r="C1" s="6" t="s">
        <v>2</v>
      </c>
      <c r="D1" s="6" t="s">
        <v>3</v>
      </c>
    </row>
    <row r="2" spans="1:4" x14ac:dyDescent="0.3">
      <c r="A2" s="2">
        <v>40936</v>
      </c>
      <c r="B2" s="3">
        <v>8.5</v>
      </c>
      <c r="C2" s="7">
        <v>0</v>
      </c>
      <c r="D2" s="6" t="str">
        <f>IF(C3=0,"",IF(C3&gt;0,"Hike","Cut"))</f>
        <v/>
      </c>
    </row>
    <row r="3" spans="1:4" x14ac:dyDescent="0.3">
      <c r="A3" s="2">
        <v>40952</v>
      </c>
      <c r="B3" s="3">
        <v>8.5</v>
      </c>
      <c r="C3" s="7">
        <f>B3-B2</f>
        <v>0</v>
      </c>
      <c r="D3" s="6" t="str">
        <f t="shared" ref="D3:D33" si="0">IF(C4=0,"",IF(C4&gt;0,"Hike","Cut"))</f>
        <v/>
      </c>
    </row>
    <row r="4" spans="1:4" x14ac:dyDescent="0.3">
      <c r="A4" s="2">
        <v>40978</v>
      </c>
      <c r="B4" s="3">
        <v>8.5</v>
      </c>
      <c r="C4" s="7">
        <f t="shared" ref="C4:C67" si="1">B4-B3</f>
        <v>0</v>
      </c>
    </row>
    <row r="5" spans="1:4" x14ac:dyDescent="0.3">
      <c r="A5" s="2">
        <v>41016</v>
      </c>
      <c r="B5" s="3">
        <v>8</v>
      </c>
      <c r="C5" s="7">
        <f t="shared" si="1"/>
        <v>-0.5</v>
      </c>
      <c r="D5" s="6" t="s">
        <v>4</v>
      </c>
    </row>
    <row r="6" spans="1:4" x14ac:dyDescent="0.3">
      <c r="A6" s="2">
        <v>41132</v>
      </c>
      <c r="B6" s="3">
        <v>8</v>
      </c>
      <c r="C6" s="7">
        <f t="shared" si="1"/>
        <v>0</v>
      </c>
      <c r="D6" s="6" t="str">
        <f t="shared" si="0"/>
        <v/>
      </c>
    </row>
    <row r="7" spans="1:4" x14ac:dyDescent="0.3">
      <c r="A7" s="2">
        <v>41174</v>
      </c>
      <c r="B7" s="3">
        <v>8</v>
      </c>
      <c r="C7" s="7">
        <f t="shared" si="1"/>
        <v>0</v>
      </c>
      <c r="D7" s="6" t="str">
        <f t="shared" si="0"/>
        <v/>
      </c>
    </row>
    <row r="8" spans="1:4" x14ac:dyDescent="0.3">
      <c r="A8" s="2">
        <v>41216</v>
      </c>
      <c r="B8" s="3">
        <v>8</v>
      </c>
      <c r="C8" s="7">
        <f t="shared" si="1"/>
        <v>0</v>
      </c>
    </row>
    <row r="9" spans="1:4" x14ac:dyDescent="0.3">
      <c r="A9" s="2">
        <v>41303</v>
      </c>
      <c r="B9" s="3">
        <v>7.75</v>
      </c>
      <c r="C9" s="7">
        <f t="shared" si="1"/>
        <v>-0.25</v>
      </c>
      <c r="D9" s="6" t="s">
        <v>4</v>
      </c>
    </row>
    <row r="10" spans="1:4" x14ac:dyDescent="0.3">
      <c r="A10" s="2">
        <v>41314</v>
      </c>
      <c r="B10" s="3">
        <v>7.75</v>
      </c>
      <c r="C10" s="7">
        <f t="shared" si="1"/>
        <v>0</v>
      </c>
    </row>
    <row r="11" spans="1:4" x14ac:dyDescent="0.3">
      <c r="A11" s="2">
        <v>41352</v>
      </c>
      <c r="B11" s="3">
        <v>7.5</v>
      </c>
      <c r="C11" s="7">
        <f t="shared" si="1"/>
        <v>-0.25</v>
      </c>
      <c r="D11" s="6" t="str">
        <f t="shared" si="0"/>
        <v>Cut</v>
      </c>
    </row>
    <row r="12" spans="1:4" x14ac:dyDescent="0.3">
      <c r="A12" s="2">
        <v>41397</v>
      </c>
      <c r="B12" s="4">
        <v>7.25</v>
      </c>
      <c r="C12" s="7">
        <f t="shared" si="1"/>
        <v>-0.25</v>
      </c>
      <c r="D12" s="6" t="s">
        <v>4</v>
      </c>
    </row>
    <row r="13" spans="1:4" x14ac:dyDescent="0.3">
      <c r="A13" s="2">
        <v>41470</v>
      </c>
      <c r="B13" s="4">
        <v>7.25</v>
      </c>
      <c r="C13" s="7">
        <f t="shared" si="1"/>
        <v>0</v>
      </c>
    </row>
    <row r="14" spans="1:4" x14ac:dyDescent="0.3">
      <c r="A14" s="2">
        <v>41537</v>
      </c>
      <c r="B14" s="4">
        <v>7.5</v>
      </c>
      <c r="C14" s="7">
        <f t="shared" si="1"/>
        <v>0.25</v>
      </c>
      <c r="D14" s="6" t="s">
        <v>5</v>
      </c>
    </row>
    <row r="15" spans="1:4" x14ac:dyDescent="0.3">
      <c r="A15" s="2">
        <v>41554</v>
      </c>
      <c r="B15" s="4">
        <v>7.5</v>
      </c>
      <c r="C15" s="7">
        <f t="shared" si="1"/>
        <v>0</v>
      </c>
    </row>
    <row r="16" spans="1:4" x14ac:dyDescent="0.3">
      <c r="A16" s="2">
        <v>41576</v>
      </c>
      <c r="B16" s="4">
        <v>7.75</v>
      </c>
      <c r="C16" s="7">
        <f t="shared" si="1"/>
        <v>0.25</v>
      </c>
      <c r="D16" s="6" t="str">
        <f t="shared" si="0"/>
        <v>Hike</v>
      </c>
    </row>
    <row r="17" spans="1:4" x14ac:dyDescent="0.3">
      <c r="A17" s="2">
        <v>41667</v>
      </c>
      <c r="B17" s="3">
        <v>8</v>
      </c>
      <c r="C17" s="7">
        <f t="shared" si="1"/>
        <v>0.25</v>
      </c>
      <c r="D17" s="6" t="s">
        <v>5</v>
      </c>
    </row>
    <row r="18" spans="1:4" x14ac:dyDescent="0.3">
      <c r="A18" s="2">
        <v>41804</v>
      </c>
      <c r="B18" s="3">
        <v>8</v>
      </c>
      <c r="C18" s="7">
        <f t="shared" si="1"/>
        <v>0</v>
      </c>
      <c r="D18" s="6" t="str">
        <f t="shared" si="0"/>
        <v/>
      </c>
    </row>
    <row r="19" spans="1:4" x14ac:dyDescent="0.3">
      <c r="A19" s="2">
        <v>41860</v>
      </c>
      <c r="B19" s="3">
        <v>8</v>
      </c>
      <c r="C19" s="7">
        <f t="shared" si="1"/>
        <v>0</v>
      </c>
    </row>
    <row r="20" spans="1:4" x14ac:dyDescent="0.3">
      <c r="A20" s="2">
        <v>42019</v>
      </c>
      <c r="B20" s="4">
        <v>7.75</v>
      </c>
      <c r="C20" s="7">
        <f t="shared" si="1"/>
        <v>-0.25</v>
      </c>
      <c r="D20" s="6" t="s">
        <v>4</v>
      </c>
    </row>
    <row r="21" spans="1:4" x14ac:dyDescent="0.3">
      <c r="A21" s="2">
        <v>42042</v>
      </c>
      <c r="B21" s="4">
        <v>7.75</v>
      </c>
      <c r="C21" s="7">
        <f t="shared" si="1"/>
        <v>0</v>
      </c>
    </row>
    <row r="22" spans="1:4" x14ac:dyDescent="0.3">
      <c r="A22" s="2">
        <v>42067</v>
      </c>
      <c r="B22" s="4">
        <v>7.5</v>
      </c>
      <c r="C22" s="7">
        <f t="shared" si="1"/>
        <v>-0.25</v>
      </c>
      <c r="D22" s="6" t="str">
        <f t="shared" si="0"/>
        <v>Cut</v>
      </c>
    </row>
    <row r="23" spans="1:4" x14ac:dyDescent="0.3">
      <c r="A23" s="2">
        <v>42157</v>
      </c>
      <c r="B23" s="3">
        <v>7.25</v>
      </c>
      <c r="C23" s="7">
        <f t="shared" si="1"/>
        <v>-0.25</v>
      </c>
      <c r="D23" s="6" t="str">
        <f>IF(C24=0,"",IF(C24&gt;0,"Hike","Cut"))</f>
        <v>Cut</v>
      </c>
    </row>
    <row r="24" spans="1:4" x14ac:dyDescent="0.3">
      <c r="A24" s="2">
        <v>42276</v>
      </c>
      <c r="B24" s="4">
        <v>6.75</v>
      </c>
      <c r="C24" s="7">
        <f t="shared" si="1"/>
        <v>-0.5</v>
      </c>
      <c r="D24" s="6" t="s">
        <v>4</v>
      </c>
    </row>
    <row r="25" spans="1:4" x14ac:dyDescent="0.3">
      <c r="A25" s="2">
        <v>42462</v>
      </c>
      <c r="B25" s="4">
        <v>6.75</v>
      </c>
      <c r="C25" s="7">
        <f t="shared" si="1"/>
        <v>0</v>
      </c>
    </row>
    <row r="26" spans="1:4" x14ac:dyDescent="0.3">
      <c r="A26" s="2">
        <v>42465</v>
      </c>
      <c r="B26" s="4">
        <v>6.5</v>
      </c>
      <c r="C26" s="7">
        <f t="shared" si="1"/>
        <v>-0.25</v>
      </c>
      <c r="D26" s="6" t="s">
        <v>4</v>
      </c>
    </row>
    <row r="27" spans="1:4" x14ac:dyDescent="0.3">
      <c r="A27" s="2">
        <v>42560</v>
      </c>
      <c r="B27" s="4">
        <v>6.5</v>
      </c>
      <c r="C27" s="7">
        <f t="shared" si="1"/>
        <v>0</v>
      </c>
      <c r="D27" s="6" t="str">
        <f t="shared" si="0"/>
        <v/>
      </c>
    </row>
    <row r="28" spans="1:4" x14ac:dyDescent="0.3">
      <c r="A28" s="2">
        <v>42644</v>
      </c>
      <c r="B28" s="4">
        <v>6.5</v>
      </c>
      <c r="C28" s="7">
        <f t="shared" si="1"/>
        <v>0</v>
      </c>
    </row>
    <row r="29" spans="1:4" x14ac:dyDescent="0.3">
      <c r="A29" s="2">
        <v>42647</v>
      </c>
      <c r="B29" s="3">
        <v>6.25</v>
      </c>
      <c r="C29" s="7">
        <f t="shared" si="1"/>
        <v>-0.25</v>
      </c>
      <c r="D29" s="6" t="s">
        <v>4</v>
      </c>
    </row>
    <row r="30" spans="1:4" x14ac:dyDescent="0.3">
      <c r="A30" s="2">
        <v>42742</v>
      </c>
      <c r="B30" s="3">
        <v>6.25</v>
      </c>
      <c r="C30" s="7">
        <f t="shared" si="1"/>
        <v>0</v>
      </c>
      <c r="D30" s="6" t="str">
        <f t="shared" si="0"/>
        <v/>
      </c>
    </row>
    <row r="31" spans="1:4" x14ac:dyDescent="0.3">
      <c r="A31" s="2">
        <v>42831</v>
      </c>
      <c r="B31" s="3">
        <v>6.25</v>
      </c>
      <c r="C31" s="7">
        <f t="shared" si="1"/>
        <v>0</v>
      </c>
      <c r="D31" s="6" t="str">
        <f t="shared" si="0"/>
        <v/>
      </c>
    </row>
    <row r="32" spans="1:4" x14ac:dyDescent="0.3">
      <c r="A32" s="2">
        <v>42910</v>
      </c>
      <c r="B32" s="3">
        <v>6.25</v>
      </c>
      <c r="C32" s="7">
        <f t="shared" si="1"/>
        <v>0</v>
      </c>
    </row>
    <row r="33" spans="1:4" x14ac:dyDescent="0.3">
      <c r="A33" s="2">
        <v>42949</v>
      </c>
      <c r="B33" s="3">
        <v>6</v>
      </c>
      <c r="C33" s="7">
        <f t="shared" si="1"/>
        <v>-0.25</v>
      </c>
      <c r="D33" s="6" t="s">
        <v>4</v>
      </c>
    </row>
    <row r="34" spans="1:4" x14ac:dyDescent="0.3">
      <c r="A34" s="2">
        <v>43022</v>
      </c>
      <c r="B34" s="3">
        <v>6</v>
      </c>
      <c r="C34" s="7">
        <f t="shared" si="1"/>
        <v>0</v>
      </c>
    </row>
    <row r="35" spans="1:4" x14ac:dyDescent="0.3">
      <c r="A35" s="2">
        <v>43257</v>
      </c>
      <c r="B35" s="3">
        <v>6.25</v>
      </c>
      <c r="C35" s="7">
        <f t="shared" si="1"/>
        <v>0.25</v>
      </c>
      <c r="D35" s="6" t="str">
        <f t="shared" ref="D3:D66" si="2">IF(C36=0,"",IF(C36&gt;0,"Hike","Cut"))</f>
        <v>Hike</v>
      </c>
    </row>
    <row r="36" spans="1:4" x14ac:dyDescent="0.3">
      <c r="A36" s="2">
        <v>43313</v>
      </c>
      <c r="B36" s="4">
        <v>6.5</v>
      </c>
      <c r="C36" s="7">
        <f t="shared" si="1"/>
        <v>0.25</v>
      </c>
      <c r="D36" s="6" t="s">
        <v>5</v>
      </c>
    </row>
    <row r="37" spans="1:4" x14ac:dyDescent="0.3">
      <c r="A37" s="2">
        <v>43470</v>
      </c>
      <c r="B37" s="4">
        <v>6.5</v>
      </c>
      <c r="C37" s="7">
        <f t="shared" si="1"/>
        <v>0</v>
      </c>
    </row>
    <row r="38" spans="1:4" x14ac:dyDescent="0.3">
      <c r="A38" s="2">
        <v>43503</v>
      </c>
      <c r="B38" s="4">
        <v>6.25</v>
      </c>
      <c r="C38" s="7">
        <f t="shared" si="1"/>
        <v>-0.25</v>
      </c>
      <c r="D38" s="6" t="str">
        <f t="shared" si="2"/>
        <v>Cut</v>
      </c>
    </row>
    <row r="39" spans="1:4" x14ac:dyDescent="0.3">
      <c r="A39" s="2">
        <v>43559</v>
      </c>
      <c r="B39" s="3">
        <v>6</v>
      </c>
      <c r="C39" s="7">
        <f t="shared" si="1"/>
        <v>-0.25</v>
      </c>
      <c r="D39" s="6" t="s">
        <v>4</v>
      </c>
    </row>
    <row r="40" spans="1:4" x14ac:dyDescent="0.3">
      <c r="A40" s="2">
        <v>43568</v>
      </c>
      <c r="B40" s="3">
        <v>6</v>
      </c>
      <c r="C40" s="7">
        <f t="shared" si="1"/>
        <v>0</v>
      </c>
    </row>
    <row r="41" spans="1:4" x14ac:dyDescent="0.3">
      <c r="A41" s="2">
        <v>43622</v>
      </c>
      <c r="B41" s="3">
        <v>5.75</v>
      </c>
      <c r="C41" s="7">
        <f t="shared" si="1"/>
        <v>-0.25</v>
      </c>
      <c r="D41" s="6" t="s">
        <v>4</v>
      </c>
    </row>
    <row r="42" spans="1:4" x14ac:dyDescent="0.3">
      <c r="A42" s="2">
        <v>43652</v>
      </c>
      <c r="B42" s="3">
        <v>5.75</v>
      </c>
      <c r="C42" s="7">
        <f t="shared" si="1"/>
        <v>0</v>
      </c>
    </row>
    <row r="43" spans="1:4" x14ac:dyDescent="0.3">
      <c r="A43" s="2">
        <v>43684</v>
      </c>
      <c r="B43" s="3">
        <v>5.4</v>
      </c>
      <c r="C43" s="7">
        <f t="shared" si="1"/>
        <v>-0.34999999999999964</v>
      </c>
      <c r="D43" s="6" t="str">
        <f>IF(C44=0,"",IF(C44&gt;0,"Hike","Cut"))</f>
        <v>Cut</v>
      </c>
    </row>
    <row r="44" spans="1:4" x14ac:dyDescent="0.3">
      <c r="A44" s="2">
        <v>43742</v>
      </c>
      <c r="B44" s="4">
        <v>5.15</v>
      </c>
      <c r="C44" s="7">
        <f t="shared" si="1"/>
        <v>-0.25</v>
      </c>
      <c r="D44" s="6" t="s">
        <v>4</v>
      </c>
    </row>
    <row r="45" spans="1:4" x14ac:dyDescent="0.3">
      <c r="A45" s="2">
        <v>43750</v>
      </c>
      <c r="B45" s="4">
        <v>5.15</v>
      </c>
      <c r="C45" s="7">
        <f t="shared" si="1"/>
        <v>0</v>
      </c>
      <c r="D45" s="6" t="str">
        <f t="shared" si="2"/>
        <v/>
      </c>
    </row>
    <row r="46" spans="1:4" x14ac:dyDescent="0.3">
      <c r="A46" s="2">
        <v>43834</v>
      </c>
      <c r="B46" s="4">
        <v>5.15</v>
      </c>
      <c r="C46" s="7">
        <f t="shared" si="1"/>
        <v>0</v>
      </c>
    </row>
    <row r="47" spans="1:4" x14ac:dyDescent="0.3">
      <c r="A47" s="2">
        <v>43917</v>
      </c>
      <c r="B47" s="3">
        <v>4.4000000000000004</v>
      </c>
      <c r="C47" s="7">
        <f t="shared" si="1"/>
        <v>-0.75</v>
      </c>
      <c r="D47" s="6" t="s">
        <v>4</v>
      </c>
    </row>
    <row r="48" spans="1:4" x14ac:dyDescent="0.3">
      <c r="A48" s="2">
        <v>43918</v>
      </c>
      <c r="B48" s="3">
        <v>4.4000000000000004</v>
      </c>
      <c r="C48" s="7">
        <f t="shared" si="1"/>
        <v>0</v>
      </c>
      <c r="D48" s="6" t="str">
        <f t="shared" si="2"/>
        <v/>
      </c>
    </row>
    <row r="49" spans="1:4" x14ac:dyDescent="0.3">
      <c r="A49" s="2">
        <v>43932</v>
      </c>
      <c r="B49" s="3">
        <v>4.4000000000000004</v>
      </c>
      <c r="C49" s="7">
        <f t="shared" si="1"/>
        <v>0</v>
      </c>
      <c r="D49" s="6" t="str">
        <f t="shared" si="2"/>
        <v/>
      </c>
    </row>
    <row r="50" spans="1:4" x14ac:dyDescent="0.3">
      <c r="A50" s="2">
        <v>43938</v>
      </c>
      <c r="B50" s="4">
        <v>4.4000000000000004</v>
      </c>
      <c r="C50" s="7">
        <f t="shared" si="1"/>
        <v>0</v>
      </c>
    </row>
    <row r="51" spans="1:4" x14ac:dyDescent="0.3">
      <c r="A51" s="2">
        <v>43973</v>
      </c>
      <c r="B51" s="3">
        <v>4</v>
      </c>
      <c r="C51" s="7">
        <f t="shared" si="1"/>
        <v>-0.40000000000000036</v>
      </c>
      <c r="D51" s="6" t="s">
        <v>4</v>
      </c>
    </row>
    <row r="52" spans="1:4" x14ac:dyDescent="0.3">
      <c r="A52" s="2">
        <v>44282</v>
      </c>
      <c r="B52" s="3">
        <v>4</v>
      </c>
      <c r="C52" s="7">
        <f t="shared" si="1"/>
        <v>0</v>
      </c>
      <c r="D52" s="6" t="str">
        <f t="shared" si="2"/>
        <v/>
      </c>
    </row>
    <row r="53" spans="1:4" x14ac:dyDescent="0.3">
      <c r="A53" s="2">
        <v>44338</v>
      </c>
      <c r="B53" s="3">
        <v>4</v>
      </c>
      <c r="C53" s="7">
        <f t="shared" si="1"/>
        <v>0</v>
      </c>
      <c r="D53" s="6" t="str">
        <f t="shared" si="2"/>
        <v/>
      </c>
    </row>
    <row r="54" spans="1:4" x14ac:dyDescent="0.3">
      <c r="A54" s="2">
        <v>44659</v>
      </c>
      <c r="B54" s="3">
        <v>4</v>
      </c>
      <c r="C54" s="7">
        <f t="shared" si="1"/>
        <v>0</v>
      </c>
    </row>
    <row r="55" spans="1:4" x14ac:dyDescent="0.3">
      <c r="A55" s="2">
        <v>44685</v>
      </c>
      <c r="B55" s="3">
        <v>4.4000000000000004</v>
      </c>
      <c r="C55" s="7">
        <f t="shared" si="1"/>
        <v>0.40000000000000036</v>
      </c>
      <c r="D55" s="6" t="s">
        <v>5</v>
      </c>
    </row>
    <row r="56" spans="1:4" x14ac:dyDescent="0.3">
      <c r="A56" s="2">
        <v>44702</v>
      </c>
      <c r="B56" s="3">
        <v>4.4000000000000004</v>
      </c>
      <c r="C56" s="7">
        <f t="shared" si="1"/>
        <v>0</v>
      </c>
    </row>
    <row r="57" spans="1:4" x14ac:dyDescent="0.3">
      <c r="A57" s="2">
        <v>44720</v>
      </c>
      <c r="B57" s="3">
        <v>4.9000000000000004</v>
      </c>
      <c r="C57" s="7">
        <f t="shared" si="1"/>
        <v>0.5</v>
      </c>
      <c r="D57" s="6" t="str">
        <f t="shared" si="2"/>
        <v>Hike</v>
      </c>
    </row>
    <row r="58" spans="1:4" x14ac:dyDescent="0.3">
      <c r="A58" s="2">
        <v>44778</v>
      </c>
      <c r="B58" s="4">
        <v>5.4</v>
      </c>
      <c r="C58" s="7">
        <f t="shared" si="1"/>
        <v>0.5</v>
      </c>
      <c r="D58" s="6" t="str">
        <f t="shared" si="2"/>
        <v>Hike</v>
      </c>
    </row>
    <row r="59" spans="1:4" x14ac:dyDescent="0.3">
      <c r="A59" s="2">
        <v>44834</v>
      </c>
      <c r="B59" s="3">
        <v>5.9</v>
      </c>
      <c r="C59" s="7">
        <f t="shared" si="1"/>
        <v>0.5</v>
      </c>
      <c r="D59" s="6" t="str">
        <f>IF(C60=0,"",IF(C60&gt;0,"Hike","Cut"))</f>
        <v>Hike</v>
      </c>
    </row>
    <row r="60" spans="1:4" x14ac:dyDescent="0.3">
      <c r="A60" s="2">
        <v>44902</v>
      </c>
      <c r="B60" s="4">
        <v>6.25</v>
      </c>
      <c r="C60" s="7">
        <f t="shared" si="1"/>
        <v>0.34999999999999964</v>
      </c>
      <c r="D60" s="6" t="str">
        <f t="shared" si="2"/>
        <v>Hike</v>
      </c>
    </row>
    <row r="61" spans="1:4" x14ac:dyDescent="0.3">
      <c r="A61" s="2">
        <v>44965</v>
      </c>
      <c r="B61" s="3">
        <v>6.5</v>
      </c>
      <c r="C61" s="7">
        <f t="shared" si="1"/>
        <v>0.25</v>
      </c>
      <c r="D61" s="6" t="s">
        <v>5</v>
      </c>
    </row>
    <row r="62" spans="1:4" x14ac:dyDescent="0.3">
      <c r="A62" s="2">
        <v>45640</v>
      </c>
      <c r="B62" s="3">
        <v>6.5</v>
      </c>
      <c r="C62" s="7">
        <f t="shared" si="1"/>
        <v>0</v>
      </c>
      <c r="D62" s="6" t="str">
        <f t="shared" si="2"/>
        <v/>
      </c>
    </row>
    <row r="63" spans="1:4" x14ac:dyDescent="0.3">
      <c r="A63" s="2">
        <v>45654</v>
      </c>
      <c r="B63" s="3">
        <v>6.5</v>
      </c>
      <c r="C63" s="7">
        <f t="shared" si="1"/>
        <v>0</v>
      </c>
    </row>
    <row r="64" spans="1:4" x14ac:dyDescent="0.3">
      <c r="A64" s="2">
        <v>45695</v>
      </c>
      <c r="B64" s="4">
        <v>6.25</v>
      </c>
      <c r="C64" s="7">
        <f t="shared" si="1"/>
        <v>-0.25</v>
      </c>
      <c r="D64" s="6" t="str">
        <f t="shared" si="2"/>
        <v>Cut</v>
      </c>
    </row>
    <row r="65" spans="1:4" x14ac:dyDescent="0.3">
      <c r="A65" s="2">
        <v>45756</v>
      </c>
      <c r="B65" s="3">
        <v>6</v>
      </c>
      <c r="C65" s="7">
        <f t="shared" si="1"/>
        <v>-0.25</v>
      </c>
      <c r="D65" s="6" t="str">
        <f t="shared" si="2"/>
        <v>Cut</v>
      </c>
    </row>
    <row r="66" spans="1:4" x14ac:dyDescent="0.3">
      <c r="A66" s="2">
        <v>45814</v>
      </c>
      <c r="B66" s="4">
        <v>5.5</v>
      </c>
      <c r="C66" s="7">
        <f t="shared" si="1"/>
        <v>-0.5</v>
      </c>
      <c r="D66" s="6" t="s">
        <v>4</v>
      </c>
    </row>
    <row r="67" spans="1:4" x14ac:dyDescent="0.3">
      <c r="A67" s="2">
        <v>45906</v>
      </c>
      <c r="B67" s="4">
        <v>5.5</v>
      </c>
      <c r="C67" s="7">
        <f t="shared" si="1"/>
        <v>0</v>
      </c>
      <c r="D67" s="6" t="str">
        <f t="shared" ref="D67:D71" si="3">IF(C68=0,"",IF(C68&gt;0,"Hike","Cut"))</f>
        <v/>
      </c>
    </row>
    <row r="68" spans="1:4" x14ac:dyDescent="0.3">
      <c r="A68" s="2">
        <v>45934</v>
      </c>
      <c r="B68" s="4">
        <v>5.5</v>
      </c>
      <c r="C68" s="7">
        <f t="shared" ref="C68:C71" si="4">B68-B67</f>
        <v>0</v>
      </c>
      <c r="D68" s="6" t="str">
        <f t="shared" si="3"/>
        <v/>
      </c>
    </row>
    <row r="69" spans="1:4" x14ac:dyDescent="0.3">
      <c r="A69" s="2">
        <v>45962</v>
      </c>
      <c r="B69" s="4">
        <v>5.5</v>
      </c>
      <c r="C69" s="7">
        <f t="shared" si="4"/>
        <v>0</v>
      </c>
      <c r="D69" s="6" t="str">
        <f t="shared" si="3"/>
        <v/>
      </c>
    </row>
    <row r="70" spans="1:4" x14ac:dyDescent="0.3">
      <c r="A70" s="2">
        <v>45990</v>
      </c>
      <c r="B70" s="4">
        <v>5.5</v>
      </c>
      <c r="C70" s="7">
        <f t="shared" si="4"/>
        <v>0</v>
      </c>
    </row>
    <row r="71" spans="1:4" x14ac:dyDescent="0.3">
      <c r="A71" s="2">
        <v>45996</v>
      </c>
      <c r="B71" s="3">
        <v>5.25</v>
      </c>
      <c r="C71" s="7">
        <f t="shared" si="4"/>
        <v>-0.25</v>
      </c>
      <c r="D71" s="6" t="s">
        <v>4</v>
      </c>
    </row>
  </sheetData>
  <autoFilter ref="A1:B71" xr:uid="{332F42A0-8EED-4AD3-A709-CFC9024BF6D7}">
    <sortState xmlns:xlrd2="http://schemas.microsoft.com/office/spreadsheetml/2017/richdata2" ref="A2:B71">
      <sortCondition ref="A1:A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Deogaonkar</dc:creator>
  <cp:lastModifiedBy>Rohan Deogaonkar</cp:lastModifiedBy>
  <dcterms:created xsi:type="dcterms:W3CDTF">2026-04-22T17:45:14Z</dcterms:created>
  <dcterms:modified xsi:type="dcterms:W3CDTF">2026-04-22T18:04:36Z</dcterms:modified>
</cp:coreProperties>
</file>